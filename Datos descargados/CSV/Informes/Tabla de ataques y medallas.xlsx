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ana\Downloads\"/>
    </mc:Choice>
  </mc:AlternateContent>
  <xr:revisionPtr revIDLastSave="0" documentId="13_ncr:1_{69438246-C9F2-4C4D-9F7C-E57E445D52DC}" xr6:coauthVersionLast="47" xr6:coauthVersionMax="47" xr10:uidLastSave="{00000000-0000-0000-0000-000000000000}"/>
  <bookViews>
    <workbookView xWindow="28680" yWindow="-900" windowWidth="24240" windowHeight="13020" xr2:uid="{A6DE0779-569C-4646-B448-8159B7B93D36}"/>
  </bookViews>
  <sheets>
    <sheet name="Diario_D" sheetId="2" r:id="rId1"/>
    <sheet name="Diario_C" sheetId="3" r:id="rId2"/>
  </sheet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<sst xmlns="http://schemas.openxmlformats.org/spreadsheetml/2006/main" count="212" uniqueCount="14">
  <si>
    <t>N°</t>
  </si>
  <si>
    <t>Ataques</t>
  </si>
  <si>
    <t>Barcos</t>
  </si>
  <si>
    <t>Medallas</t>
  </si>
  <si>
    <t>Batalla normal</t>
  </si>
  <si>
    <t>Duelo</t>
  </si>
  <si>
    <t>Variantes</t>
  </si>
  <si>
    <t>Detalle</t>
  </si>
  <si>
    <t>Periodo</t>
  </si>
  <si>
    <t>V</t>
  </si>
  <si>
    <t>D</t>
  </si>
  <si>
    <t>Día</t>
  </si>
  <si>
    <t>ID</t>
  </si>
  <si>
    <t>ID_Combinación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</si>
</sst>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1EBB8-6C79-4A8A-AE6F-A1A443DBECF6}">
  <dimension ref="A1:N112"/>
  <sheetViews>
    <sheetView tabSelected="1" workbookViewId="0">
      <selection activeCell="J13" sqref="J13"/>
    </sheetView>
  </sheetViews>
  <sheetFormatPr baseColWidth="10" defaultRowHeight="14.4" x14ac:dyDescent="0.3"/>
  <cols>
    <col min="1" max="1" width="4" style="1" bestFit="1" customWidth="1"/>
    <col min="2" max="3" width="3.88671875" style="1" customWidth="1"/>
    <col min="4" max="5" width="3.44140625" style="1" customWidth="1"/>
    <col min="6" max="7" width="3.33203125" style="1" customWidth="1"/>
    <col min="8" max="8" width="8" style="1" bestFit="1" customWidth="1"/>
    <col min="9" max="9" width="8.77734375" style="1" bestFit="1" customWidth="1"/>
    <col min="10" max="10" width="29.5546875" style="1" bestFit="1" customWidth="1"/>
    <col min="11" max="11" width="7.77734375" style="1" bestFit="1" customWidth="1"/>
    <col min="12" max="12" width="9.109375" style="1" bestFit="1" customWidth="1"/>
    <col min="13" max="13" width="13.77734375" style="1" bestFit="1" customWidth="1"/>
    <col min="14" max="14" width="27.77734375" style="1" customWidth="1"/>
    <col min="15" max="16384" width="11.5546875" style="1"/>
  </cols>
  <sheetData>
    <row r="1" spans="1:14" s="8" customFormat="1" ht="34.200000000000003" customHeight="1" x14ac:dyDescent="0.3">
      <c r="A1" s="3" t="s">
        <v>0</v>
      </c>
      <c r="B1" s="7" t="s">
        <v>4</v>
      </c>
      <c r="C1" s="7"/>
      <c r="D1" s="7" t="s">
        <v>5</v>
      </c>
      <c r="E1" s="7"/>
      <c r="F1" s="7" t="s">
        <v>2</v>
      </c>
      <c r="G1" s="7"/>
      <c r="H1" s="3" t="s">
        <v>1</v>
      </c>
      <c r="I1" s="3" t="s">
        <v>3</v>
      </c>
      <c r="J1" s="3" t="s">
        <v>7</v>
      </c>
      <c r="K1" s="3" t="s">
        <v>8</v>
      </c>
      <c r="L1" s="3" t="s">
        <v>6</v>
      </c>
      <c r="M1" s="3" t="s">
        <v>12</v>
      </c>
      <c r="N1" s="3" t="s">
        <v>13</v>
      </c>
    </row>
    <row r="2" spans="1:14" x14ac:dyDescent="0.3">
      <c r="A2" s="3"/>
      <c r="B2" s="4" t="s">
        <v>9</v>
      </c>
      <c r="C2" s="4" t="s">
        <v>10</v>
      </c>
      <c r="D2" s="4" t="s">
        <v>9</v>
      </c>
      <c r="E2" s="4" t="s">
        <v>10</v>
      </c>
      <c r="F2" s="4" t="s">
        <v>9</v>
      </c>
      <c r="G2" s="4" t="s">
        <v>10</v>
      </c>
      <c r="H2" s="3"/>
      <c r="I2" s="3"/>
      <c r="J2" s="3"/>
      <c r="K2" s="3"/>
      <c r="L2" s="3"/>
      <c r="M2" s="3"/>
      <c r="N2" s="3"/>
    </row>
    <row r="3" spans="1:14" x14ac:dyDescent="0.3">
      <c r="A3" s="9">
        <v>1</v>
      </c>
      <c r="B3" s="5">
        <v>2</v>
      </c>
      <c r="C3" s="5">
        <v>0</v>
      </c>
      <c r="D3" s="6">
        <v>2</v>
      </c>
      <c r="E3" s="6">
        <v>0</v>
      </c>
      <c r="F3" s="10">
        <v>0</v>
      </c>
      <c r="G3" s="10">
        <v>0</v>
      </c>
      <c r="H3" s="9">
        <f>SUM(B3:G3)</f>
        <v>4</v>
      </c>
      <c r="I3" s="9">
        <f>B3*200+C3*100+D3*250+E3*100+F3*125+G3*75</f>
        <v>900</v>
      </c>
      <c r="J3" s="9" t="str">
        <f>IF(SUM(B3:G3)=0,"Sin ataques",TRIM(_xlfn.CONCAT(IF(B3+C3&gt;0,"PvP ("&amp;B3&amp;"-"&amp;C3&amp;") ",""),IF(D3+E3&gt;0,"Duelo ("&amp;D3&amp;"-"&amp;E3&amp;") ",""),IF(F3+G3&gt;0,"Barcos ("&amp;F3&amp;"-"&amp;G3&amp;")",""))))</f>
        <v>PvP (2-0) Duelo (2-0)</v>
      </c>
      <c r="K3" s="9" t="s">
        <v>11</v>
      </c>
      <c r="L3" s="9">
        <v>1</v>
      </c>
      <c r="M3" s="9" t="str">
        <f>"M_"&amp;TEXT(I3,"000")&amp;"_A_"&amp;H3&amp;"_B_"&amp;SUM(F3:G3)</f>
        <v>M_900_A_4_B_0</v>
      </c>
      <c r="N3" s="9" t="str">
        <f>"PvP"&amp;B3&amp;"-"&amp;C3&amp;"_Duelo"&amp;D3&amp;"-"&amp;E3&amp;"_Barcos"&amp;F3&amp;"-"&amp;G3</f>
        <v>PvP2-0_Duelo2-0_Barcos0-0</v>
      </c>
    </row>
    <row r="4" spans="1:14" x14ac:dyDescent="0.3">
      <c r="A4" s="9">
        <v>2</v>
      </c>
      <c r="B4" s="5">
        <v>1</v>
      </c>
      <c r="C4" s="5">
        <v>0</v>
      </c>
      <c r="D4" s="6">
        <v>2</v>
      </c>
      <c r="E4" s="6">
        <v>0</v>
      </c>
      <c r="F4" s="10">
        <v>1</v>
      </c>
      <c r="G4" s="10">
        <v>0</v>
      </c>
      <c r="H4" s="9">
        <f>SUM(B4:G4)</f>
        <v>4</v>
      </c>
      <c r="I4" s="9">
        <f>B4*200+C4*100+D4*250+E4*100+F4*125+G4*75</f>
        <v>825</v>
      </c>
      <c r="J4" s="9" t="str">
        <f>IF(SUM(B4:G4)=0,"Sin ataques",TRIM(_xlfn.CONCAT(IF(B4+C4&gt;0,"PvP ("&amp;B4&amp;"-"&amp;C4&amp;") ",""),IF(D4+E4&gt;0,"Duelo ("&amp;D4&amp;"-"&amp;E4&amp;") ",""),IF(F4+G4&gt;0,"Barcos ("&amp;F4&amp;"-"&amp;G4&amp;")",""))))</f>
        <v>PvP (1-0) Duelo (2-0) Barcos (1-0)</v>
      </c>
      <c r="K4" s="9" t="s">
        <v>11</v>
      </c>
      <c r="L4" s="9">
        <v>1</v>
      </c>
      <c r="M4" s="9" t="str">
        <f>"M_"&amp;TEXT(I4,"000")&amp;"_A_"&amp;H4&amp;"_B_"&amp;SUM(F4:G4)</f>
        <v>M_825_A_4_B_1</v>
      </c>
      <c r="N4" s="9" t="str">
        <f>"PvP"&amp;B4&amp;"-"&amp;C4&amp;"_Duelo"&amp;D4&amp;"-"&amp;E4&amp;"_Barcos"&amp;F4&amp;"-"&amp;G4</f>
        <v>PvP1-0_Duelo2-0_Barcos1-0</v>
      </c>
    </row>
    <row r="5" spans="1:14" x14ac:dyDescent="0.3">
      <c r="A5" s="9">
        <v>3</v>
      </c>
      <c r="B5" s="5">
        <v>1</v>
      </c>
      <c r="C5" s="5">
        <v>0</v>
      </c>
      <c r="D5" s="6">
        <v>2</v>
      </c>
      <c r="E5" s="6">
        <v>1</v>
      </c>
      <c r="F5" s="10">
        <v>0</v>
      </c>
      <c r="G5" s="10">
        <v>0</v>
      </c>
      <c r="H5" s="9">
        <f>SUM(B5:G5)</f>
        <v>4</v>
      </c>
      <c r="I5" s="9">
        <f>B5*200+C5*100+D5*250+E5*100+F5*125+G5*75</f>
        <v>800</v>
      </c>
      <c r="J5" s="9" t="str">
        <f>IF(SUM(B5:G5)=0,"Sin ataques",TRIM(_xlfn.CONCAT(IF(B5+C5&gt;0,"PvP ("&amp;B5&amp;"-"&amp;C5&amp;") ",""),IF(D5+E5&gt;0,"Duelo ("&amp;D5&amp;"-"&amp;E5&amp;") ",""),IF(F5+G5&gt;0,"Barcos ("&amp;F5&amp;"-"&amp;G5&amp;")",""))))</f>
        <v>PvP (1-0) Duelo (2-1)</v>
      </c>
      <c r="K5" s="9" t="s">
        <v>11</v>
      </c>
      <c r="L5" s="9">
        <v>1</v>
      </c>
      <c r="M5" s="9" t="str">
        <f>"M_"&amp;TEXT(I5,"000")&amp;"_A_"&amp;H5&amp;"_B_"&amp;SUM(F5:G5)</f>
        <v>M_800_A_4_B_0</v>
      </c>
      <c r="N5" s="9" t="str">
        <f>"PvP"&amp;B5&amp;"-"&amp;C5&amp;"_Duelo"&amp;D5&amp;"-"&amp;E5&amp;"_Barcos"&amp;F5&amp;"-"&amp;G5</f>
        <v>PvP1-0_Duelo2-1_Barcos0-0</v>
      </c>
    </row>
    <row r="6" spans="1:14" x14ac:dyDescent="0.3">
      <c r="A6" s="9">
        <v>4</v>
      </c>
      <c r="B6" s="5">
        <v>1</v>
      </c>
      <c r="C6" s="5">
        <v>1</v>
      </c>
      <c r="D6" s="6">
        <v>2</v>
      </c>
      <c r="E6" s="6">
        <v>0</v>
      </c>
      <c r="F6" s="10">
        <v>0</v>
      </c>
      <c r="G6" s="10">
        <v>0</v>
      </c>
      <c r="H6" s="9">
        <f>SUM(B6:G6)</f>
        <v>4</v>
      </c>
      <c r="I6" s="9">
        <f>B6*200+C6*100+D6*250+E6*100+F6*125+G6*75</f>
        <v>800</v>
      </c>
      <c r="J6" s="9" t="str">
        <f>IF(SUM(B6:G6)=0,"Sin ataques",TRIM(_xlfn.CONCAT(IF(B6+C6&gt;0,"PvP ("&amp;B6&amp;"-"&amp;C6&amp;") ",""),IF(D6+E6&gt;0,"Duelo ("&amp;D6&amp;"-"&amp;E6&amp;") ",""),IF(F6+G6&gt;0,"Barcos ("&amp;F6&amp;"-"&amp;G6&amp;")",""))))</f>
        <v>PvP (1-1) Duelo (2-0)</v>
      </c>
      <c r="K6" s="9" t="s">
        <v>11</v>
      </c>
      <c r="L6" s="9">
        <v>1</v>
      </c>
      <c r="M6" s="9" t="str">
        <f>"M_"&amp;TEXT(I6,"000")&amp;"_A_"&amp;H6&amp;"_B_"&amp;SUM(F6:G6)</f>
        <v>M_800_A_4_B_0</v>
      </c>
      <c r="N6" s="9" t="str">
        <f>"PvP"&amp;B6&amp;"-"&amp;C6&amp;"_Duelo"&amp;D6&amp;"-"&amp;E6&amp;"_Barcos"&amp;F6&amp;"-"&amp;G6</f>
        <v>PvP1-1_Duelo2-0_Barcos0-0</v>
      </c>
    </row>
    <row r="7" spans="1:14" x14ac:dyDescent="0.3">
      <c r="A7" s="9">
        <v>5</v>
      </c>
      <c r="B7" s="5">
        <v>4</v>
      </c>
      <c r="C7" s="5">
        <v>0</v>
      </c>
      <c r="D7" s="6">
        <v>0</v>
      </c>
      <c r="E7" s="6">
        <v>0</v>
      </c>
      <c r="F7" s="10">
        <v>0</v>
      </c>
      <c r="G7" s="10">
        <v>0</v>
      </c>
      <c r="H7" s="9">
        <f>SUM(B7:G7)</f>
        <v>4</v>
      </c>
      <c r="I7" s="9">
        <f>B7*200+C7*100+D7*250+E7*100+F7*125+G7*75</f>
        <v>800</v>
      </c>
      <c r="J7" s="9" t="str">
        <f>IF(SUM(B7:G7)=0,"Sin ataques",TRIM(_xlfn.CONCAT(IF(B7+C7&gt;0,"PvP ("&amp;B7&amp;"-"&amp;C7&amp;") ",""),IF(D7+E7&gt;0,"Duelo ("&amp;D7&amp;"-"&amp;E7&amp;") ",""),IF(F7+G7&gt;0,"Barcos ("&amp;F7&amp;"-"&amp;G7&amp;")",""))))</f>
        <v>PvP (4-0)</v>
      </c>
      <c r="K7" s="9" t="s">
        <v>11</v>
      </c>
      <c r="L7" s="9">
        <v>1</v>
      </c>
      <c r="M7" s="9" t="str">
        <f>"M_"&amp;TEXT(I7,"000")&amp;"_A_"&amp;H7&amp;"_B_"&amp;SUM(F7:G7)</f>
        <v>M_800_A_4_B_0</v>
      </c>
      <c r="N7" s="9" t="str">
        <f>"PvP"&amp;B7&amp;"-"&amp;C7&amp;"_Duelo"&amp;D7&amp;"-"&amp;E7&amp;"_Barcos"&amp;F7&amp;"-"&amp;G7</f>
        <v>PvP4-0_Duelo0-0_Barcos0-0</v>
      </c>
    </row>
    <row r="8" spans="1:14" x14ac:dyDescent="0.3">
      <c r="A8" s="9">
        <v>6</v>
      </c>
      <c r="B8" s="5">
        <v>1</v>
      </c>
      <c r="C8" s="5">
        <v>0</v>
      </c>
      <c r="D8" s="6">
        <v>2</v>
      </c>
      <c r="E8" s="6">
        <v>0</v>
      </c>
      <c r="F8" s="10">
        <v>0</v>
      </c>
      <c r="G8" s="10">
        <v>1</v>
      </c>
      <c r="H8" s="9">
        <f>SUM(B8:G8)</f>
        <v>4</v>
      </c>
      <c r="I8" s="9">
        <f>B8*200+C8*100+D8*250+E8*100+F8*125+G8*75</f>
        <v>775</v>
      </c>
      <c r="J8" s="9" t="str">
        <f>IF(SUM(B8:G8)=0,"Sin ataques",TRIM(_xlfn.CONCAT(IF(B8+C8&gt;0,"PvP ("&amp;B8&amp;"-"&amp;C8&amp;") ",""),IF(D8+E8&gt;0,"Duelo ("&amp;D8&amp;"-"&amp;E8&amp;") ",""),IF(F8+G8&gt;0,"Barcos ("&amp;F8&amp;"-"&amp;G8&amp;")",""))))</f>
        <v>PvP (1-0) Duelo (2-0) Barcos (0-1)</v>
      </c>
      <c r="K8" s="9" t="s">
        <v>11</v>
      </c>
      <c r="L8" s="9">
        <v>1</v>
      </c>
      <c r="M8" s="9" t="str">
        <f>"M_"&amp;TEXT(I8,"000")&amp;"_A_"&amp;H8&amp;"_B_"&amp;SUM(F8:G8)</f>
        <v>M_775_A_4_B_1</v>
      </c>
      <c r="N8" s="9" t="str">
        <f>"PvP"&amp;B8&amp;"-"&amp;C8&amp;"_Duelo"&amp;D8&amp;"-"&amp;E8&amp;"_Barcos"&amp;F8&amp;"-"&amp;G8</f>
        <v>PvP1-0_Duelo2-0_Barcos0-1</v>
      </c>
    </row>
    <row r="9" spans="1:14" x14ac:dyDescent="0.3">
      <c r="A9" s="9">
        <v>7</v>
      </c>
      <c r="B9" s="5">
        <v>0</v>
      </c>
      <c r="C9" s="5">
        <v>0</v>
      </c>
      <c r="D9" s="6">
        <v>2</v>
      </c>
      <c r="E9" s="6">
        <v>0</v>
      </c>
      <c r="F9" s="10">
        <v>2</v>
      </c>
      <c r="G9" s="10">
        <v>0</v>
      </c>
      <c r="H9" s="9">
        <f>SUM(B9:G9)</f>
        <v>4</v>
      </c>
      <c r="I9" s="9">
        <f>B9*200+C9*100+D9*250+E9*100+F9*125+G9*75</f>
        <v>750</v>
      </c>
      <c r="J9" s="9" t="str">
        <f>IF(SUM(B9:G9)=0,"Sin ataques",TRIM(_xlfn.CONCAT(IF(B9+C9&gt;0,"PvP ("&amp;B9&amp;"-"&amp;C9&amp;") ",""),IF(D9+E9&gt;0,"Duelo ("&amp;D9&amp;"-"&amp;E9&amp;") ",""),IF(F9+G9&gt;0,"Barcos ("&amp;F9&amp;"-"&amp;G9&amp;")",""))))</f>
        <v>Duelo (2-0) Barcos (2-0)</v>
      </c>
      <c r="K9" s="9" t="s">
        <v>11</v>
      </c>
      <c r="L9" s="9">
        <v>1</v>
      </c>
      <c r="M9" s="9" t="str">
        <f>"M_"&amp;TEXT(I9,"000")&amp;"_A_"&amp;H9&amp;"_B_"&amp;SUM(F9:G9)</f>
        <v>M_750_A_4_B_2</v>
      </c>
      <c r="N9" s="9" t="str">
        <f>"PvP"&amp;B9&amp;"-"&amp;C9&amp;"_Duelo"&amp;D9&amp;"-"&amp;E9&amp;"_Barcos"&amp;F9&amp;"-"&amp;G9</f>
        <v>PvP0-0_Duelo2-0_Barcos2-0</v>
      </c>
    </row>
    <row r="10" spans="1:14" x14ac:dyDescent="0.3">
      <c r="A10" s="9">
        <v>8</v>
      </c>
      <c r="B10" s="5">
        <v>0</v>
      </c>
      <c r="C10" s="5">
        <v>0</v>
      </c>
      <c r="D10" s="6">
        <v>2</v>
      </c>
      <c r="E10" s="6">
        <v>1</v>
      </c>
      <c r="F10" s="10">
        <v>1</v>
      </c>
      <c r="G10" s="10">
        <v>0</v>
      </c>
      <c r="H10" s="9">
        <f>SUM(B10:G10)</f>
        <v>4</v>
      </c>
      <c r="I10" s="9">
        <f>B10*200+C10*100+D10*250+E10*100+F10*125+G10*75</f>
        <v>725</v>
      </c>
      <c r="J10" s="9" t="str">
        <f>IF(SUM(B10:G10)=0,"Sin ataques",TRIM(_xlfn.CONCAT(IF(B10+C10&gt;0,"PvP ("&amp;B10&amp;"-"&amp;C10&amp;") ",""),IF(D10+E10&gt;0,"Duelo ("&amp;D10&amp;"-"&amp;E10&amp;") ",""),IF(F10+G10&gt;0,"Barcos ("&amp;F10&amp;"-"&amp;G10&amp;")",""))))</f>
        <v>Duelo (2-1) Barcos (1-0)</v>
      </c>
      <c r="K10" s="9" t="s">
        <v>11</v>
      </c>
      <c r="L10" s="9">
        <v>1</v>
      </c>
      <c r="M10" s="9" t="str">
        <f>"M_"&amp;TEXT(I10,"000")&amp;"_A_"&amp;H10&amp;"_B_"&amp;SUM(F10:G10)</f>
        <v>M_725_A_4_B_1</v>
      </c>
      <c r="N10" s="9" t="str">
        <f>"PvP"&amp;B10&amp;"-"&amp;C10&amp;"_Duelo"&amp;D10&amp;"-"&amp;E10&amp;"_Barcos"&amp;F10&amp;"-"&amp;G10</f>
        <v>PvP0-0_Duelo2-1_Barcos1-0</v>
      </c>
    </row>
    <row r="11" spans="1:14" x14ac:dyDescent="0.3">
      <c r="A11" s="9">
        <v>9</v>
      </c>
      <c r="B11" s="5">
        <v>0</v>
      </c>
      <c r="C11" s="5">
        <v>1</v>
      </c>
      <c r="D11" s="6">
        <v>2</v>
      </c>
      <c r="E11" s="6">
        <v>0</v>
      </c>
      <c r="F11" s="10">
        <v>1</v>
      </c>
      <c r="G11" s="10">
        <v>0</v>
      </c>
      <c r="H11" s="9">
        <f>SUM(B11:G11)</f>
        <v>4</v>
      </c>
      <c r="I11" s="9">
        <f>B11*200+C11*100+D11*250+E11*100+F11*125+G11*75</f>
        <v>725</v>
      </c>
      <c r="J11" s="9" t="str">
        <f>IF(SUM(B11:G11)=0,"Sin ataques",TRIM(_xlfn.CONCAT(IF(B11+C11&gt;0,"PvP ("&amp;B11&amp;"-"&amp;C11&amp;") ",""),IF(D11+E11&gt;0,"Duelo ("&amp;D11&amp;"-"&amp;E11&amp;") ",""),IF(F11+G11&gt;0,"Barcos ("&amp;F11&amp;"-"&amp;G11&amp;")",""))))</f>
        <v>PvP (0-1) Duelo (2-0) Barcos (1-0)</v>
      </c>
      <c r="K11" s="9" t="s">
        <v>11</v>
      </c>
      <c r="L11" s="9">
        <v>1</v>
      </c>
      <c r="M11" s="9" t="str">
        <f>"M_"&amp;TEXT(I11,"000")&amp;"_A_"&amp;H11&amp;"_B_"&amp;SUM(F11:G11)</f>
        <v>M_725_A_4_B_1</v>
      </c>
      <c r="N11" s="9" t="str">
        <f>"PvP"&amp;B11&amp;"-"&amp;C11&amp;"_Duelo"&amp;D11&amp;"-"&amp;E11&amp;"_Barcos"&amp;F11&amp;"-"&amp;G11</f>
        <v>PvP0-1_Duelo2-0_Barcos1-0</v>
      </c>
    </row>
    <row r="12" spans="1:14" x14ac:dyDescent="0.3">
      <c r="A12" s="9">
        <v>10</v>
      </c>
      <c r="B12" s="5">
        <v>3</v>
      </c>
      <c r="C12" s="5">
        <v>0</v>
      </c>
      <c r="D12" s="6">
        <v>0</v>
      </c>
      <c r="E12" s="6">
        <v>0</v>
      </c>
      <c r="F12" s="10">
        <v>1</v>
      </c>
      <c r="G12" s="10">
        <v>0</v>
      </c>
      <c r="H12" s="9">
        <f>SUM(B12:G12)</f>
        <v>4</v>
      </c>
      <c r="I12" s="9">
        <f>B12*200+C12*100+D12*250+E12*100+F12*125+G12*75</f>
        <v>725</v>
      </c>
      <c r="J12" s="9" t="str">
        <f>IF(SUM(B12:G12)=0,"Sin ataques",TRIM(_xlfn.CONCAT(IF(B12+C12&gt;0,"PvP ("&amp;B12&amp;"-"&amp;C12&amp;") ",""),IF(D12+E12&gt;0,"Duelo ("&amp;D12&amp;"-"&amp;E12&amp;") ",""),IF(F12+G12&gt;0,"Barcos ("&amp;F12&amp;"-"&amp;G12&amp;")",""))))</f>
        <v>PvP (3-0) Barcos (1-0)</v>
      </c>
      <c r="K12" s="9" t="s">
        <v>11</v>
      </c>
      <c r="L12" s="9">
        <v>1</v>
      </c>
      <c r="M12" s="9" t="str">
        <f>"M_"&amp;TEXT(I12,"000")&amp;"_A_"&amp;H12&amp;"_B_"&amp;SUM(F12:G12)</f>
        <v>M_725_A_4_B_1</v>
      </c>
      <c r="N12" s="9" t="str">
        <f>"PvP"&amp;B12&amp;"-"&amp;C12&amp;"_Duelo"&amp;D12&amp;"-"&amp;E12&amp;"_Barcos"&amp;F12&amp;"-"&amp;G12</f>
        <v>PvP3-0_Duelo0-0_Barcos1-0</v>
      </c>
    </row>
    <row r="13" spans="1:14" x14ac:dyDescent="0.3">
      <c r="A13" s="9">
        <v>11</v>
      </c>
      <c r="B13" s="5">
        <v>0</v>
      </c>
      <c r="C13" s="5">
        <v>0</v>
      </c>
      <c r="D13" s="6">
        <v>2</v>
      </c>
      <c r="E13" s="6">
        <v>0</v>
      </c>
      <c r="F13" s="10">
        <v>1</v>
      </c>
      <c r="G13" s="10">
        <v>1</v>
      </c>
      <c r="H13" s="9">
        <f>SUM(B13:G13)</f>
        <v>4</v>
      </c>
      <c r="I13" s="9">
        <f>B13*200+C13*100+D13*250+E13*100+F13*125+G13*75</f>
        <v>700</v>
      </c>
      <c r="J13" s="9" t="str">
        <f>IF(SUM(B13:G13)=0,"Sin ataques",TRIM(_xlfn.CONCAT(IF(B13+C13&gt;0,"PvP ("&amp;B13&amp;"-"&amp;C13&amp;") ",""),IF(D13+E13&gt;0,"Duelo ("&amp;D13&amp;"-"&amp;E13&amp;") ",""),IF(F13+G13&gt;0,"Barcos ("&amp;F13&amp;"-"&amp;G13&amp;")",""))))</f>
        <v>Duelo (2-0) Barcos (1-1)</v>
      </c>
      <c r="K13" s="9" t="s">
        <v>11</v>
      </c>
      <c r="L13" s="9">
        <v>1</v>
      </c>
      <c r="M13" s="9" t="str">
        <f>"M_"&amp;TEXT(I13,"000")&amp;"_A_"&amp;H13&amp;"_B_"&amp;SUM(F13:G13)</f>
        <v>M_700_A_4_B_2</v>
      </c>
      <c r="N13" s="9" t="str">
        <f>"PvP"&amp;B13&amp;"-"&amp;C13&amp;"_Duelo"&amp;D13&amp;"-"&amp;E13&amp;"_Barcos"&amp;F13&amp;"-"&amp;G13</f>
        <v>PvP0-0_Duelo2-0_Barcos1-1</v>
      </c>
    </row>
    <row r="14" spans="1:14" x14ac:dyDescent="0.3">
      <c r="A14" s="9">
        <v>12</v>
      </c>
      <c r="B14" s="5">
        <v>0</v>
      </c>
      <c r="C14" s="5">
        <v>1</v>
      </c>
      <c r="D14" s="6">
        <v>2</v>
      </c>
      <c r="E14" s="6">
        <v>1</v>
      </c>
      <c r="F14" s="10">
        <v>0</v>
      </c>
      <c r="G14" s="10">
        <v>0</v>
      </c>
      <c r="H14" s="9">
        <f>SUM(B14:G14)</f>
        <v>4</v>
      </c>
      <c r="I14" s="9">
        <f>B14*200+C14*100+D14*250+E14*100+F14*125+G14*75</f>
        <v>700</v>
      </c>
      <c r="J14" s="9" t="str">
        <f>IF(SUM(B14:G14)=0,"Sin ataques",TRIM(_xlfn.CONCAT(IF(B14+C14&gt;0,"PvP ("&amp;B14&amp;"-"&amp;C14&amp;") ",""),IF(D14+E14&gt;0,"Duelo ("&amp;D14&amp;"-"&amp;E14&amp;") ",""),IF(F14+G14&gt;0,"Barcos ("&amp;F14&amp;"-"&amp;G14&amp;")",""))))</f>
        <v>PvP (0-1) Duelo (2-1)</v>
      </c>
      <c r="K14" s="9" t="s">
        <v>11</v>
      </c>
      <c r="L14" s="9">
        <v>1</v>
      </c>
      <c r="M14" s="9" t="str">
        <f>"M_"&amp;TEXT(I14,"000")&amp;"_A_"&amp;H14&amp;"_B_"&amp;SUM(F14:G14)</f>
        <v>M_700_A_4_B_0</v>
      </c>
      <c r="N14" s="9" t="str">
        <f>"PvP"&amp;B14&amp;"-"&amp;C14&amp;"_Duelo"&amp;D14&amp;"-"&amp;E14&amp;"_Barcos"&amp;F14&amp;"-"&amp;G14</f>
        <v>PvP0-1_Duelo2-1_Barcos0-0</v>
      </c>
    </row>
    <row r="15" spans="1:14" x14ac:dyDescent="0.3">
      <c r="A15" s="9">
        <v>13</v>
      </c>
      <c r="B15" s="5">
        <v>0</v>
      </c>
      <c r="C15" s="5">
        <v>2</v>
      </c>
      <c r="D15" s="6">
        <v>2</v>
      </c>
      <c r="E15" s="6">
        <v>0</v>
      </c>
      <c r="F15" s="10">
        <v>0</v>
      </c>
      <c r="G15" s="10">
        <v>0</v>
      </c>
      <c r="H15" s="9">
        <f>SUM(B15:G15)</f>
        <v>4</v>
      </c>
      <c r="I15" s="9">
        <f>B15*200+C15*100+D15*250+E15*100+F15*125+G15*75</f>
        <v>700</v>
      </c>
      <c r="J15" s="9" t="str">
        <f>IF(SUM(B15:G15)=0,"Sin ataques",TRIM(_xlfn.CONCAT(IF(B15+C15&gt;0,"PvP ("&amp;B15&amp;"-"&amp;C15&amp;") ",""),IF(D15+E15&gt;0,"Duelo ("&amp;D15&amp;"-"&amp;E15&amp;") ",""),IF(F15+G15&gt;0,"Barcos ("&amp;F15&amp;"-"&amp;G15&amp;")",""))))</f>
        <v>PvP (0-2) Duelo (2-0)</v>
      </c>
      <c r="K15" s="9" t="s">
        <v>11</v>
      </c>
      <c r="L15" s="9">
        <v>1</v>
      </c>
      <c r="M15" s="9" t="str">
        <f>"M_"&amp;TEXT(I15,"000")&amp;"_A_"&amp;H15&amp;"_B_"&amp;SUM(F15:G15)</f>
        <v>M_700_A_4_B_0</v>
      </c>
      <c r="N15" s="9" t="str">
        <f>"PvP"&amp;B15&amp;"-"&amp;C15&amp;"_Duelo"&amp;D15&amp;"-"&amp;E15&amp;"_Barcos"&amp;F15&amp;"-"&amp;G15</f>
        <v>PvP0-2_Duelo2-0_Barcos0-0</v>
      </c>
    </row>
    <row r="16" spans="1:14" x14ac:dyDescent="0.3">
      <c r="A16" s="9">
        <v>14</v>
      </c>
      <c r="B16" s="5">
        <v>3</v>
      </c>
      <c r="C16" s="5">
        <v>1</v>
      </c>
      <c r="D16" s="6">
        <v>0</v>
      </c>
      <c r="E16" s="6">
        <v>0</v>
      </c>
      <c r="F16" s="10">
        <v>0</v>
      </c>
      <c r="G16" s="10">
        <v>0</v>
      </c>
      <c r="H16" s="9">
        <f>SUM(B16:G16)</f>
        <v>4</v>
      </c>
      <c r="I16" s="9">
        <f>B16*200+C16*100+D16*250+E16*100+F16*125+G16*75</f>
        <v>700</v>
      </c>
      <c r="J16" s="9" t="str">
        <f>IF(SUM(B16:G16)=0,"Sin ataques",TRIM(_xlfn.CONCAT(IF(B16+C16&gt;0,"PvP ("&amp;B16&amp;"-"&amp;C16&amp;") ",""),IF(D16+E16&gt;0,"Duelo ("&amp;D16&amp;"-"&amp;E16&amp;") ",""),IF(F16+G16&gt;0,"Barcos ("&amp;F16&amp;"-"&amp;G16&amp;")",""))))</f>
        <v>PvP (3-1)</v>
      </c>
      <c r="K16" s="9" t="s">
        <v>11</v>
      </c>
      <c r="L16" s="9">
        <v>1</v>
      </c>
      <c r="M16" s="9" t="str">
        <f>"M_"&amp;TEXT(I16,"000")&amp;"_A_"&amp;H16&amp;"_B_"&amp;SUM(F16:G16)</f>
        <v>M_700_A_4_B_0</v>
      </c>
      <c r="N16" s="9" t="str">
        <f>"PvP"&amp;B16&amp;"-"&amp;C16&amp;"_Duelo"&amp;D16&amp;"-"&amp;E16&amp;"_Barcos"&amp;F16&amp;"-"&amp;G16</f>
        <v>PvP3-1_Duelo0-0_Barcos0-0</v>
      </c>
    </row>
    <row r="17" spans="1:14" x14ac:dyDescent="0.3">
      <c r="A17" s="9">
        <v>15</v>
      </c>
      <c r="B17" s="5">
        <v>1</v>
      </c>
      <c r="C17" s="5">
        <v>0</v>
      </c>
      <c r="D17" s="6">
        <v>2</v>
      </c>
      <c r="E17" s="6">
        <v>0</v>
      </c>
      <c r="F17" s="10">
        <v>0</v>
      </c>
      <c r="G17" s="10">
        <v>0</v>
      </c>
      <c r="H17" s="9">
        <f>SUM(B17:G17)</f>
        <v>3</v>
      </c>
      <c r="I17" s="9">
        <f>B17*200+C17*100+D17*250+E17*100+F17*125+G17*75</f>
        <v>700</v>
      </c>
      <c r="J17" s="9" t="str">
        <f>IF(SUM(B17:G17)=0,"Sin ataques",TRIM(_xlfn.CONCAT(IF(B17+C17&gt;0,"PvP ("&amp;B17&amp;"-"&amp;C17&amp;") ",""),IF(D17+E17&gt;0,"Duelo ("&amp;D17&amp;"-"&amp;E17&amp;") ",""),IF(F17+G17&gt;0,"Barcos ("&amp;F17&amp;"-"&amp;G17&amp;")",""))))</f>
        <v>PvP (1-0) Duelo (2-0)</v>
      </c>
      <c r="K17" s="9" t="s">
        <v>11</v>
      </c>
      <c r="L17" s="9">
        <v>1</v>
      </c>
      <c r="M17" s="9" t="str">
        <f>"M_"&amp;TEXT(I17,"000")&amp;"_A_"&amp;H17&amp;"_B_"&amp;SUM(F17:G17)</f>
        <v>M_700_A_3_B_0</v>
      </c>
      <c r="N17" s="9" t="str">
        <f>"PvP"&amp;B17&amp;"-"&amp;C17&amp;"_Duelo"&amp;D17&amp;"-"&amp;E17&amp;"_Barcos"&amp;F17&amp;"-"&amp;G17</f>
        <v>PvP1-0_Duelo2-0_Barcos0-0</v>
      </c>
    </row>
    <row r="18" spans="1:14" x14ac:dyDescent="0.3">
      <c r="A18" s="9">
        <v>16</v>
      </c>
      <c r="B18" s="5">
        <v>0</v>
      </c>
      <c r="C18" s="5">
        <v>0</v>
      </c>
      <c r="D18" s="6">
        <v>2</v>
      </c>
      <c r="E18" s="6">
        <v>1</v>
      </c>
      <c r="F18" s="10">
        <v>0</v>
      </c>
      <c r="G18" s="10">
        <v>1</v>
      </c>
      <c r="H18" s="9">
        <f>SUM(B18:G18)</f>
        <v>4</v>
      </c>
      <c r="I18" s="9">
        <f>B18*200+C18*100+D18*250+E18*100+F18*125+G18*75</f>
        <v>675</v>
      </c>
      <c r="J18" s="9" t="str">
        <f>IF(SUM(B18:G18)=0,"Sin ataques",TRIM(_xlfn.CONCAT(IF(B18+C18&gt;0,"PvP ("&amp;B18&amp;"-"&amp;C18&amp;") ",""),IF(D18+E18&gt;0,"Duelo ("&amp;D18&amp;"-"&amp;E18&amp;") ",""),IF(F18+G18&gt;0,"Barcos ("&amp;F18&amp;"-"&amp;G18&amp;")",""))))</f>
        <v>Duelo (2-1) Barcos (0-1)</v>
      </c>
      <c r="K18" s="9" t="s">
        <v>11</v>
      </c>
      <c r="L18" s="9">
        <v>1</v>
      </c>
      <c r="M18" s="9" t="str">
        <f>"M_"&amp;TEXT(I18,"000")&amp;"_A_"&amp;H18&amp;"_B_"&amp;SUM(F18:G18)</f>
        <v>M_675_A_4_B_1</v>
      </c>
      <c r="N18" s="9" t="str">
        <f>"PvP"&amp;B18&amp;"-"&amp;C18&amp;"_Duelo"&amp;D18&amp;"-"&amp;E18&amp;"_Barcos"&amp;F18&amp;"-"&amp;G18</f>
        <v>PvP0-0_Duelo2-1_Barcos0-1</v>
      </c>
    </row>
    <row r="19" spans="1:14" x14ac:dyDescent="0.3">
      <c r="A19" s="9">
        <v>17</v>
      </c>
      <c r="B19" s="5">
        <v>0</v>
      </c>
      <c r="C19" s="5">
        <v>1</v>
      </c>
      <c r="D19" s="6">
        <v>2</v>
      </c>
      <c r="E19" s="6">
        <v>0</v>
      </c>
      <c r="F19" s="10">
        <v>0</v>
      </c>
      <c r="G19" s="10">
        <v>1</v>
      </c>
      <c r="H19" s="9">
        <f>SUM(B19:G19)</f>
        <v>4</v>
      </c>
      <c r="I19" s="9">
        <f>B19*200+C19*100+D19*250+E19*100+F19*125+G19*75</f>
        <v>675</v>
      </c>
      <c r="J19" s="9" t="str">
        <f>IF(SUM(B19:G19)=0,"Sin ataques",TRIM(_xlfn.CONCAT(IF(B19+C19&gt;0,"PvP ("&amp;B19&amp;"-"&amp;C19&amp;") ",""),IF(D19+E19&gt;0,"Duelo ("&amp;D19&amp;"-"&amp;E19&amp;") ",""),IF(F19+G19&gt;0,"Barcos ("&amp;F19&amp;"-"&amp;G19&amp;")",""))))</f>
        <v>PvP (0-1) Duelo (2-0) Barcos (0-1)</v>
      </c>
      <c r="K19" s="9" t="s">
        <v>11</v>
      </c>
      <c r="L19" s="9">
        <v>1</v>
      </c>
      <c r="M19" s="9" t="str">
        <f>"M_"&amp;TEXT(I19,"000")&amp;"_A_"&amp;H19&amp;"_B_"&amp;SUM(F19:G19)</f>
        <v>M_675_A_4_B_1</v>
      </c>
      <c r="N19" s="9" t="str">
        <f>"PvP"&amp;B19&amp;"-"&amp;C19&amp;"_Duelo"&amp;D19&amp;"-"&amp;E19&amp;"_Barcos"&amp;F19&amp;"-"&amp;G19</f>
        <v>PvP0-1_Duelo2-0_Barcos0-1</v>
      </c>
    </row>
    <row r="20" spans="1:14" x14ac:dyDescent="0.3">
      <c r="A20" s="9">
        <v>18</v>
      </c>
      <c r="B20" s="5">
        <v>3</v>
      </c>
      <c r="C20" s="5">
        <v>0</v>
      </c>
      <c r="D20" s="6">
        <v>0</v>
      </c>
      <c r="E20" s="6">
        <v>0</v>
      </c>
      <c r="F20" s="10">
        <v>0</v>
      </c>
      <c r="G20" s="10">
        <v>1</v>
      </c>
      <c r="H20" s="9">
        <f>SUM(B20:G20)</f>
        <v>4</v>
      </c>
      <c r="I20" s="9">
        <f>B20*200+C20*100+D20*250+E20*100+F20*125+G20*75</f>
        <v>675</v>
      </c>
      <c r="J20" s="9" t="str">
        <f>IF(SUM(B20:G20)=0,"Sin ataques",TRIM(_xlfn.CONCAT(IF(B20+C20&gt;0,"PvP ("&amp;B20&amp;"-"&amp;C20&amp;") ",""),IF(D20+E20&gt;0,"Duelo ("&amp;D20&amp;"-"&amp;E20&amp;") ",""),IF(F20+G20&gt;0,"Barcos ("&amp;F20&amp;"-"&amp;G20&amp;")",""))))</f>
        <v>PvP (3-0) Barcos (0-1)</v>
      </c>
      <c r="K20" s="9" t="s">
        <v>11</v>
      </c>
      <c r="L20" s="9">
        <v>1</v>
      </c>
      <c r="M20" s="9" t="str">
        <f>"M_"&amp;TEXT(I20,"000")&amp;"_A_"&amp;H20&amp;"_B_"&amp;SUM(F20:G20)</f>
        <v>M_675_A_4_B_1</v>
      </c>
      <c r="N20" s="9" t="str">
        <f>"PvP"&amp;B20&amp;"-"&amp;C20&amp;"_Duelo"&amp;D20&amp;"-"&amp;E20&amp;"_Barcos"&amp;F20&amp;"-"&amp;G20</f>
        <v>PvP3-0_Duelo0-0_Barcos0-1</v>
      </c>
    </row>
    <row r="21" spans="1:14" x14ac:dyDescent="0.3">
      <c r="A21" s="9">
        <v>19</v>
      </c>
      <c r="B21" s="5">
        <v>0</v>
      </c>
      <c r="C21" s="5">
        <v>0</v>
      </c>
      <c r="D21" s="6">
        <v>2</v>
      </c>
      <c r="E21" s="6">
        <v>0</v>
      </c>
      <c r="F21" s="10">
        <v>0</v>
      </c>
      <c r="G21" s="10">
        <v>2</v>
      </c>
      <c r="H21" s="9">
        <f>SUM(B21:G21)</f>
        <v>4</v>
      </c>
      <c r="I21" s="9">
        <f>B21*200+C21*100+D21*250+E21*100+F21*125+G21*75</f>
        <v>650</v>
      </c>
      <c r="J21" s="9" t="str">
        <f>IF(SUM(B21:G21)=0,"Sin ataques",TRIM(_xlfn.CONCAT(IF(B21+C21&gt;0,"PvP ("&amp;B21&amp;"-"&amp;C21&amp;") ",""),IF(D21+E21&gt;0,"Duelo ("&amp;D21&amp;"-"&amp;E21&amp;") ",""),IF(F21+G21&gt;0,"Barcos ("&amp;F21&amp;"-"&amp;G21&amp;")",""))))</f>
        <v>Duelo (2-0) Barcos (0-2)</v>
      </c>
      <c r="K21" s="9" t="s">
        <v>11</v>
      </c>
      <c r="L21" s="9">
        <v>1</v>
      </c>
      <c r="M21" s="9" t="str">
        <f>"M_"&amp;TEXT(I21,"000")&amp;"_A_"&amp;H21&amp;"_B_"&amp;SUM(F21:G21)</f>
        <v>M_650_A_4_B_2</v>
      </c>
      <c r="N21" s="9" t="str">
        <f>"PvP"&amp;B21&amp;"-"&amp;C21&amp;"_Duelo"&amp;D21&amp;"-"&amp;E21&amp;"_Barcos"&amp;F21&amp;"-"&amp;G21</f>
        <v>PvP0-0_Duelo2-0_Barcos0-2</v>
      </c>
    </row>
    <row r="22" spans="1:14" x14ac:dyDescent="0.3">
      <c r="A22" s="9">
        <v>20</v>
      </c>
      <c r="B22" s="5">
        <v>2</v>
      </c>
      <c r="C22" s="5">
        <v>0</v>
      </c>
      <c r="D22" s="6">
        <v>0</v>
      </c>
      <c r="E22" s="6">
        <v>0</v>
      </c>
      <c r="F22" s="10">
        <v>2</v>
      </c>
      <c r="G22" s="10">
        <v>0</v>
      </c>
      <c r="H22" s="9">
        <f>SUM(B22:G22)</f>
        <v>4</v>
      </c>
      <c r="I22" s="9">
        <f>B22*200+C22*100+D22*250+E22*100+F22*125+G22*75</f>
        <v>650</v>
      </c>
      <c r="J22" s="9" t="str">
        <f>IF(SUM(B22:G22)=0,"Sin ataques",TRIM(_xlfn.CONCAT(IF(B22+C22&gt;0,"PvP ("&amp;B22&amp;"-"&amp;C22&amp;") ",""),IF(D22+E22&gt;0,"Duelo ("&amp;D22&amp;"-"&amp;E22&amp;") ",""),IF(F22+G22&gt;0,"Barcos ("&amp;F22&amp;"-"&amp;G22&amp;")",""))))</f>
        <v>PvP (2-0) Barcos (2-0)</v>
      </c>
      <c r="K22" s="9" t="s">
        <v>11</v>
      </c>
      <c r="L22" s="9">
        <v>1</v>
      </c>
      <c r="M22" s="9" t="str">
        <f>"M_"&amp;TEXT(I22,"000")&amp;"_A_"&amp;H22&amp;"_B_"&amp;SUM(F22:G22)</f>
        <v>M_650_A_4_B_2</v>
      </c>
      <c r="N22" s="9" t="str">
        <f>"PvP"&amp;B22&amp;"-"&amp;C22&amp;"_Duelo"&amp;D22&amp;"-"&amp;E22&amp;"_Barcos"&amp;F22&amp;"-"&amp;G22</f>
        <v>PvP2-0_Duelo0-0_Barcos2-0</v>
      </c>
    </row>
    <row r="23" spans="1:14" x14ac:dyDescent="0.3">
      <c r="A23" s="9">
        <v>21</v>
      </c>
      <c r="B23" s="5">
        <v>1</v>
      </c>
      <c r="C23" s="5">
        <v>0</v>
      </c>
      <c r="D23" s="6">
        <v>1</v>
      </c>
      <c r="E23" s="6">
        <v>2</v>
      </c>
      <c r="F23" s="10">
        <v>0</v>
      </c>
      <c r="G23" s="10">
        <v>0</v>
      </c>
      <c r="H23" s="9">
        <f>SUM(B23:G23)</f>
        <v>4</v>
      </c>
      <c r="I23" s="9">
        <f>B23*200+C23*100+D23*250+E23*100+F23*125+G23*75</f>
        <v>650</v>
      </c>
      <c r="J23" s="9" t="str">
        <f>IF(SUM(B23:G23)=0,"Sin ataques",TRIM(_xlfn.CONCAT(IF(B23+C23&gt;0,"PvP ("&amp;B23&amp;"-"&amp;C23&amp;") ",""),IF(D23+E23&gt;0,"Duelo ("&amp;D23&amp;"-"&amp;E23&amp;") ",""),IF(F23+G23&gt;0,"Barcos ("&amp;F23&amp;"-"&amp;G23&amp;")",""))))</f>
        <v>PvP (1-0) Duelo (1-2)</v>
      </c>
      <c r="K23" s="9" t="s">
        <v>11</v>
      </c>
      <c r="L23" s="9">
        <v>1</v>
      </c>
      <c r="M23" s="9" t="str">
        <f>"M_"&amp;TEXT(I23,"000")&amp;"_A_"&amp;H23&amp;"_B_"&amp;SUM(F23:G23)</f>
        <v>M_650_A_4_B_0</v>
      </c>
      <c r="N23" s="9" t="str">
        <f>"PvP"&amp;B23&amp;"-"&amp;C23&amp;"_Duelo"&amp;D23&amp;"-"&amp;E23&amp;"_Barcos"&amp;F23&amp;"-"&amp;G23</f>
        <v>PvP1-0_Duelo1-2_Barcos0-0</v>
      </c>
    </row>
    <row r="24" spans="1:14" x14ac:dyDescent="0.3">
      <c r="A24" s="9">
        <v>22</v>
      </c>
      <c r="B24" s="5">
        <v>2</v>
      </c>
      <c r="C24" s="5">
        <v>1</v>
      </c>
      <c r="D24" s="6">
        <v>0</v>
      </c>
      <c r="E24" s="6">
        <v>0</v>
      </c>
      <c r="F24" s="10">
        <v>1</v>
      </c>
      <c r="G24" s="10">
        <v>0</v>
      </c>
      <c r="H24" s="9">
        <f>SUM(B24:G24)</f>
        <v>4</v>
      </c>
      <c r="I24" s="9">
        <f>B24*200+C24*100+D24*250+E24*100+F24*125+G24*75</f>
        <v>625</v>
      </c>
      <c r="J24" s="9" t="str">
        <f>IF(SUM(B24:G24)=0,"Sin ataques",TRIM(_xlfn.CONCAT(IF(B24+C24&gt;0,"PvP ("&amp;B24&amp;"-"&amp;C24&amp;") ",""),IF(D24+E24&gt;0,"Duelo ("&amp;D24&amp;"-"&amp;E24&amp;") ",""),IF(F24+G24&gt;0,"Barcos ("&amp;F24&amp;"-"&amp;G24&amp;")",""))))</f>
        <v>PvP (2-1) Barcos (1-0)</v>
      </c>
      <c r="K24" s="9" t="s">
        <v>11</v>
      </c>
      <c r="L24" s="9">
        <v>1</v>
      </c>
      <c r="M24" s="9" t="str">
        <f>"M_"&amp;TEXT(I24,"000")&amp;"_A_"&amp;H24&amp;"_B_"&amp;SUM(F24:G24)</f>
        <v>M_625_A_4_B_1</v>
      </c>
      <c r="N24" s="9" t="str">
        <f>"PvP"&amp;B24&amp;"-"&amp;C24&amp;"_Duelo"&amp;D24&amp;"-"&amp;E24&amp;"_Barcos"&amp;F24&amp;"-"&amp;G24</f>
        <v>PvP2-1_Duelo0-0_Barcos1-0</v>
      </c>
    </row>
    <row r="25" spans="1:14" x14ac:dyDescent="0.3">
      <c r="A25" s="9">
        <v>23</v>
      </c>
      <c r="B25" s="5">
        <v>0</v>
      </c>
      <c r="C25" s="5">
        <v>0</v>
      </c>
      <c r="D25" s="6">
        <v>2</v>
      </c>
      <c r="E25" s="6">
        <v>0</v>
      </c>
      <c r="F25" s="10">
        <v>1</v>
      </c>
      <c r="G25" s="10">
        <v>0</v>
      </c>
      <c r="H25" s="9">
        <f>SUM(B25:G25)</f>
        <v>3</v>
      </c>
      <c r="I25" s="9">
        <f>B25*200+C25*100+D25*250+E25*100+F25*125+G25*75</f>
        <v>625</v>
      </c>
      <c r="J25" s="9" t="str">
        <f>IF(SUM(B25:G25)=0,"Sin ataques",TRIM(_xlfn.CONCAT(IF(B25+C25&gt;0,"PvP ("&amp;B25&amp;"-"&amp;C25&amp;") ",""),IF(D25+E25&gt;0,"Duelo ("&amp;D25&amp;"-"&amp;E25&amp;") ",""),IF(F25+G25&gt;0,"Barcos ("&amp;F25&amp;"-"&amp;G25&amp;")",""))))</f>
        <v>Duelo (2-0) Barcos (1-0)</v>
      </c>
      <c r="K25" s="9" t="s">
        <v>11</v>
      </c>
      <c r="L25" s="9">
        <v>1</v>
      </c>
      <c r="M25" s="9" t="str">
        <f>"M_"&amp;TEXT(I25,"000")&amp;"_A_"&amp;H25&amp;"_B_"&amp;SUM(F25:G25)</f>
        <v>M_625_A_3_B_1</v>
      </c>
      <c r="N25" s="9" t="str">
        <f>"PvP"&amp;B25&amp;"-"&amp;C25&amp;"_Duelo"&amp;D25&amp;"-"&amp;E25&amp;"_Barcos"&amp;F25&amp;"-"&amp;G25</f>
        <v>PvP0-0_Duelo2-0_Barcos1-0</v>
      </c>
    </row>
    <row r="26" spans="1:14" x14ac:dyDescent="0.3">
      <c r="A26" s="9">
        <v>24</v>
      </c>
      <c r="B26" s="5">
        <v>2</v>
      </c>
      <c r="C26" s="5">
        <v>0</v>
      </c>
      <c r="D26" s="6">
        <v>0</v>
      </c>
      <c r="E26" s="6">
        <v>0</v>
      </c>
      <c r="F26" s="10">
        <v>1</v>
      </c>
      <c r="G26" s="10">
        <v>1</v>
      </c>
      <c r="H26" s="9">
        <f>SUM(B26:G26)</f>
        <v>4</v>
      </c>
      <c r="I26" s="9">
        <f>B26*200+C26*100+D26*250+E26*100+F26*125+G26*75</f>
        <v>600</v>
      </c>
      <c r="J26" s="9" t="str">
        <f>IF(SUM(B26:G26)=0,"Sin ataques",TRIM(_xlfn.CONCAT(IF(B26+C26&gt;0,"PvP ("&amp;B26&amp;"-"&amp;C26&amp;") ",""),IF(D26+E26&gt;0,"Duelo ("&amp;D26&amp;"-"&amp;E26&amp;") ",""),IF(F26+G26&gt;0,"Barcos ("&amp;F26&amp;"-"&amp;G26&amp;")",""))))</f>
        <v>PvP (2-0) Barcos (1-1)</v>
      </c>
      <c r="K26" s="9" t="s">
        <v>11</v>
      </c>
      <c r="L26" s="9">
        <v>1</v>
      </c>
      <c r="M26" s="9" t="str">
        <f>"M_"&amp;TEXT(I26,"000")&amp;"_A_"&amp;H26&amp;"_B_"&amp;SUM(F26:G26)</f>
        <v>M_600_A_4_B_2</v>
      </c>
      <c r="N26" s="9" t="str">
        <f>"PvP"&amp;B26&amp;"-"&amp;C26&amp;"_Duelo"&amp;D26&amp;"-"&amp;E26&amp;"_Barcos"&amp;F26&amp;"-"&amp;G26</f>
        <v>PvP2-0_Duelo0-0_Barcos1-1</v>
      </c>
    </row>
    <row r="27" spans="1:14" x14ac:dyDescent="0.3">
      <c r="A27" s="9">
        <v>25</v>
      </c>
      <c r="B27" s="5">
        <v>2</v>
      </c>
      <c r="C27" s="5">
        <v>0</v>
      </c>
      <c r="D27" s="6">
        <v>0</v>
      </c>
      <c r="E27" s="6">
        <v>2</v>
      </c>
      <c r="F27" s="10">
        <v>0</v>
      </c>
      <c r="G27" s="10">
        <v>0</v>
      </c>
      <c r="H27" s="9">
        <f>SUM(B27:G27)</f>
        <v>4</v>
      </c>
      <c r="I27" s="9">
        <f>B27*200+C27*100+D27*250+E27*100+F27*125+G27*75</f>
        <v>600</v>
      </c>
      <c r="J27" s="9" t="str">
        <f>IF(SUM(B27:G27)=0,"Sin ataques",TRIM(_xlfn.CONCAT(IF(B27+C27&gt;0,"PvP ("&amp;B27&amp;"-"&amp;C27&amp;") ",""),IF(D27+E27&gt;0,"Duelo ("&amp;D27&amp;"-"&amp;E27&amp;") ",""),IF(F27+G27&gt;0,"Barcos ("&amp;F27&amp;"-"&amp;G27&amp;")",""))))</f>
        <v>PvP (2-0) Duelo (0-2)</v>
      </c>
      <c r="K27" s="9" t="s">
        <v>11</v>
      </c>
      <c r="L27" s="9">
        <v>1</v>
      </c>
      <c r="M27" s="9" t="str">
        <f>"M_"&amp;TEXT(I27,"000")&amp;"_A_"&amp;H27&amp;"_B_"&amp;SUM(F27:G27)</f>
        <v>M_600_A_4_B_0</v>
      </c>
      <c r="N27" s="9" t="str">
        <f>"PvP"&amp;B27&amp;"-"&amp;C27&amp;"_Duelo"&amp;D27&amp;"-"&amp;E27&amp;"_Barcos"&amp;F27&amp;"-"&amp;G27</f>
        <v>PvP2-0_Duelo0-2_Barcos0-0</v>
      </c>
    </row>
    <row r="28" spans="1:14" x14ac:dyDescent="0.3">
      <c r="A28" s="9">
        <v>26</v>
      </c>
      <c r="B28" s="5">
        <v>2</v>
      </c>
      <c r="C28" s="5">
        <v>2</v>
      </c>
      <c r="D28" s="6">
        <v>0</v>
      </c>
      <c r="E28" s="6">
        <v>0</v>
      </c>
      <c r="F28" s="10">
        <v>0</v>
      </c>
      <c r="G28" s="10">
        <v>0</v>
      </c>
      <c r="H28" s="9">
        <f>SUM(B28:G28)</f>
        <v>4</v>
      </c>
      <c r="I28" s="9">
        <f>B28*200+C28*100+D28*250+E28*100+F28*125+G28*75</f>
        <v>600</v>
      </c>
      <c r="J28" s="9" t="str">
        <f>IF(SUM(B28:G28)=0,"Sin ataques",TRIM(_xlfn.CONCAT(IF(B28+C28&gt;0,"PvP ("&amp;B28&amp;"-"&amp;C28&amp;") ",""),IF(D28+E28&gt;0,"Duelo ("&amp;D28&amp;"-"&amp;E28&amp;") ",""),IF(F28+G28&gt;0,"Barcos ("&amp;F28&amp;"-"&amp;G28&amp;")",""))))</f>
        <v>PvP (2-2)</v>
      </c>
      <c r="K28" s="9" t="s">
        <v>11</v>
      </c>
      <c r="L28" s="9">
        <v>1</v>
      </c>
      <c r="M28" s="9" t="str">
        <f>"M_"&amp;TEXT(I28,"000")&amp;"_A_"&amp;H28&amp;"_B_"&amp;SUM(F28:G28)</f>
        <v>M_600_A_4_B_0</v>
      </c>
      <c r="N28" s="9" t="str">
        <f>"PvP"&amp;B28&amp;"-"&amp;C28&amp;"_Duelo"&amp;D28&amp;"-"&amp;E28&amp;"_Barcos"&amp;F28&amp;"-"&amp;G28</f>
        <v>PvP2-2_Duelo0-0_Barcos0-0</v>
      </c>
    </row>
    <row r="29" spans="1:14" x14ac:dyDescent="0.3">
      <c r="A29" s="9">
        <v>27</v>
      </c>
      <c r="B29" s="5">
        <v>0</v>
      </c>
      <c r="C29" s="5">
        <v>0</v>
      </c>
      <c r="D29" s="6">
        <v>2</v>
      </c>
      <c r="E29" s="6">
        <v>1</v>
      </c>
      <c r="F29" s="10">
        <v>0</v>
      </c>
      <c r="G29" s="10">
        <v>0</v>
      </c>
      <c r="H29" s="9">
        <f>SUM(B29:G29)</f>
        <v>3</v>
      </c>
      <c r="I29" s="9">
        <f>B29*200+C29*100+D29*250+E29*100+F29*125+G29*75</f>
        <v>600</v>
      </c>
      <c r="J29" s="9" t="str">
        <f>IF(SUM(B29:G29)=0,"Sin ataques",TRIM(_xlfn.CONCAT(IF(B29+C29&gt;0,"PvP ("&amp;B29&amp;"-"&amp;C29&amp;") ",""),IF(D29+E29&gt;0,"Duelo ("&amp;D29&amp;"-"&amp;E29&amp;") ",""),IF(F29+G29&gt;0,"Barcos ("&amp;F29&amp;"-"&amp;G29&amp;")",""))))</f>
        <v>Duelo (2-1)</v>
      </c>
      <c r="K29" s="9" t="s">
        <v>11</v>
      </c>
      <c r="L29" s="9">
        <v>1</v>
      </c>
      <c r="M29" s="9" t="str">
        <f>"M_"&amp;TEXT(I29,"000")&amp;"_A_"&amp;H29&amp;"_B_"&amp;SUM(F29:G29)</f>
        <v>M_600_A_3_B_0</v>
      </c>
      <c r="N29" s="9" t="str">
        <f>"PvP"&amp;B29&amp;"-"&amp;C29&amp;"_Duelo"&amp;D29&amp;"-"&amp;E29&amp;"_Barcos"&amp;F29&amp;"-"&amp;G29</f>
        <v>PvP0-0_Duelo2-1_Barcos0-0</v>
      </c>
    </row>
    <row r="30" spans="1:14" x14ac:dyDescent="0.3">
      <c r="A30" s="9">
        <v>28</v>
      </c>
      <c r="B30" s="5">
        <v>0</v>
      </c>
      <c r="C30" s="5">
        <v>1</v>
      </c>
      <c r="D30" s="6">
        <v>2</v>
      </c>
      <c r="E30" s="6">
        <v>0</v>
      </c>
      <c r="F30" s="10">
        <v>0</v>
      </c>
      <c r="G30" s="10">
        <v>0</v>
      </c>
      <c r="H30" s="9">
        <f>SUM(B30:G30)</f>
        <v>3</v>
      </c>
      <c r="I30" s="9">
        <f>B30*200+C30*100+D30*250+E30*100+F30*125+G30*75</f>
        <v>600</v>
      </c>
      <c r="J30" s="9" t="str">
        <f>IF(SUM(B30:G30)=0,"Sin ataques",TRIM(_xlfn.CONCAT(IF(B30+C30&gt;0,"PvP ("&amp;B30&amp;"-"&amp;C30&amp;") ",""),IF(D30+E30&gt;0,"Duelo ("&amp;D30&amp;"-"&amp;E30&amp;") ",""),IF(F30+G30&gt;0,"Barcos ("&amp;F30&amp;"-"&amp;G30&amp;")",""))))</f>
        <v>PvP (0-1) Duelo (2-0)</v>
      </c>
      <c r="K30" s="9" t="s">
        <v>11</v>
      </c>
      <c r="L30" s="9">
        <v>1</v>
      </c>
      <c r="M30" s="9" t="str">
        <f>"M_"&amp;TEXT(I30,"000")&amp;"_A_"&amp;H30&amp;"_B_"&amp;SUM(F30:G30)</f>
        <v>M_600_A_3_B_0</v>
      </c>
      <c r="N30" s="9" t="str">
        <f>"PvP"&amp;B30&amp;"-"&amp;C30&amp;"_Duelo"&amp;D30&amp;"-"&amp;E30&amp;"_Barcos"&amp;F30&amp;"-"&amp;G30</f>
        <v>PvP0-1_Duelo2-0_Barcos0-0</v>
      </c>
    </row>
    <row r="31" spans="1:14" x14ac:dyDescent="0.3">
      <c r="A31" s="9">
        <v>29</v>
      </c>
      <c r="B31" s="5">
        <v>3</v>
      </c>
      <c r="C31" s="5">
        <v>0</v>
      </c>
      <c r="D31" s="6">
        <v>0</v>
      </c>
      <c r="E31" s="6">
        <v>0</v>
      </c>
      <c r="F31" s="10">
        <v>0</v>
      </c>
      <c r="G31" s="10">
        <v>0</v>
      </c>
      <c r="H31" s="9">
        <f>SUM(B31:G31)</f>
        <v>3</v>
      </c>
      <c r="I31" s="9">
        <f>B31*200+C31*100+D31*250+E31*100+F31*125+G31*75</f>
        <v>600</v>
      </c>
      <c r="J31" s="9" t="str">
        <f>IF(SUM(B31:G31)=0,"Sin ataques",TRIM(_xlfn.CONCAT(IF(B31+C31&gt;0,"PvP ("&amp;B31&amp;"-"&amp;C31&amp;") ",""),IF(D31+E31&gt;0,"Duelo ("&amp;D31&amp;"-"&amp;E31&amp;") ",""),IF(F31+G31&gt;0,"Barcos ("&amp;F31&amp;"-"&amp;G31&amp;")",""))))</f>
        <v>PvP (3-0)</v>
      </c>
      <c r="K31" s="9" t="s">
        <v>11</v>
      </c>
      <c r="L31" s="9">
        <v>1</v>
      </c>
      <c r="M31" s="9" t="str">
        <f>"M_"&amp;TEXT(I31,"000")&amp;"_A_"&amp;H31&amp;"_B_"&amp;SUM(F31:G31)</f>
        <v>M_600_A_3_B_0</v>
      </c>
      <c r="N31" s="9" t="str">
        <f>"PvP"&amp;B31&amp;"-"&amp;C31&amp;"_Duelo"&amp;D31&amp;"-"&amp;E31&amp;"_Barcos"&amp;F31&amp;"-"&amp;G31</f>
        <v>PvP3-0_Duelo0-0_Barcos0-0</v>
      </c>
    </row>
    <row r="32" spans="1:14" x14ac:dyDescent="0.3">
      <c r="A32" s="9">
        <v>30</v>
      </c>
      <c r="B32" s="5">
        <v>1</v>
      </c>
      <c r="C32" s="5">
        <v>0</v>
      </c>
      <c r="D32" s="6">
        <v>0</v>
      </c>
      <c r="E32" s="6">
        <v>0</v>
      </c>
      <c r="F32" s="10">
        <v>3</v>
      </c>
      <c r="G32" s="10">
        <v>0</v>
      </c>
      <c r="H32" s="9">
        <f>SUM(B32:G32)</f>
        <v>4</v>
      </c>
      <c r="I32" s="9">
        <f>B32*200+C32*100+D32*250+E32*100+F32*125+G32*75</f>
        <v>575</v>
      </c>
      <c r="J32" s="9" t="str">
        <f>IF(SUM(B32:G32)=0,"Sin ataques",TRIM(_xlfn.CONCAT(IF(B32+C32&gt;0,"PvP ("&amp;B32&amp;"-"&amp;C32&amp;") ",""),IF(D32+E32&gt;0,"Duelo ("&amp;D32&amp;"-"&amp;E32&amp;") ",""),IF(F32+G32&gt;0,"Barcos ("&amp;F32&amp;"-"&amp;G32&amp;")",""))))</f>
        <v>PvP (1-0) Barcos (3-0)</v>
      </c>
      <c r="K32" s="9" t="s">
        <v>11</v>
      </c>
      <c r="L32" s="9">
        <v>1</v>
      </c>
      <c r="M32" s="9" t="str">
        <f>"M_"&amp;TEXT(I32,"000")&amp;"_A_"&amp;H32&amp;"_B_"&amp;SUM(F32:G32)</f>
        <v>M_575_A_4_B_3</v>
      </c>
      <c r="N32" s="9" t="str">
        <f>"PvP"&amp;B32&amp;"-"&amp;C32&amp;"_Duelo"&amp;D32&amp;"-"&amp;E32&amp;"_Barcos"&amp;F32&amp;"-"&amp;G32</f>
        <v>PvP1-0_Duelo0-0_Barcos3-0</v>
      </c>
    </row>
    <row r="33" spans="1:14" x14ac:dyDescent="0.3">
      <c r="A33" s="9">
        <v>31</v>
      </c>
      <c r="B33" s="5">
        <v>0</v>
      </c>
      <c r="C33" s="5">
        <v>0</v>
      </c>
      <c r="D33" s="6">
        <v>1</v>
      </c>
      <c r="E33" s="6">
        <v>2</v>
      </c>
      <c r="F33" s="10">
        <v>1</v>
      </c>
      <c r="G33" s="10">
        <v>0</v>
      </c>
      <c r="H33" s="9">
        <f>SUM(B33:G33)</f>
        <v>4</v>
      </c>
      <c r="I33" s="9">
        <f>B33*200+C33*100+D33*250+E33*100+F33*125+G33*75</f>
        <v>575</v>
      </c>
      <c r="J33" s="9" t="str">
        <f>IF(SUM(B33:G33)=0,"Sin ataques",TRIM(_xlfn.CONCAT(IF(B33+C33&gt;0,"PvP ("&amp;B33&amp;"-"&amp;C33&amp;") ",""),IF(D33+E33&gt;0,"Duelo ("&amp;D33&amp;"-"&amp;E33&amp;") ",""),IF(F33+G33&gt;0,"Barcos ("&amp;F33&amp;"-"&amp;G33&amp;")",""))))</f>
        <v>Duelo (1-2) Barcos (1-0)</v>
      </c>
      <c r="K33" s="9" t="s">
        <v>11</v>
      </c>
      <c r="L33" s="9">
        <v>1</v>
      </c>
      <c r="M33" s="9" t="str">
        <f>"M_"&amp;TEXT(I33,"000")&amp;"_A_"&amp;H33&amp;"_B_"&amp;SUM(F33:G33)</f>
        <v>M_575_A_4_B_1</v>
      </c>
      <c r="N33" s="9" t="str">
        <f>"PvP"&amp;B33&amp;"-"&amp;C33&amp;"_Duelo"&amp;D33&amp;"-"&amp;E33&amp;"_Barcos"&amp;F33&amp;"-"&amp;G33</f>
        <v>PvP0-0_Duelo1-2_Barcos1-0</v>
      </c>
    </row>
    <row r="34" spans="1:14" x14ac:dyDescent="0.3">
      <c r="A34" s="9">
        <v>32</v>
      </c>
      <c r="B34" s="5">
        <v>2</v>
      </c>
      <c r="C34" s="5">
        <v>1</v>
      </c>
      <c r="D34" s="6">
        <v>0</v>
      </c>
      <c r="E34" s="6">
        <v>0</v>
      </c>
      <c r="F34" s="10">
        <v>0</v>
      </c>
      <c r="G34" s="10">
        <v>1</v>
      </c>
      <c r="H34" s="9">
        <f>SUM(B34:G34)</f>
        <v>4</v>
      </c>
      <c r="I34" s="9">
        <f>B34*200+C34*100+D34*250+E34*100+F34*125+G34*75</f>
        <v>575</v>
      </c>
      <c r="J34" s="9" t="str">
        <f>IF(SUM(B34:G34)=0,"Sin ataques",TRIM(_xlfn.CONCAT(IF(B34+C34&gt;0,"PvP ("&amp;B34&amp;"-"&amp;C34&amp;") ",""),IF(D34+E34&gt;0,"Duelo ("&amp;D34&amp;"-"&amp;E34&amp;") ",""),IF(F34+G34&gt;0,"Barcos ("&amp;F34&amp;"-"&amp;G34&amp;")",""))))</f>
        <v>PvP (2-1) Barcos (0-1)</v>
      </c>
      <c r="K34" s="9" t="s">
        <v>11</v>
      </c>
      <c r="L34" s="9">
        <v>1</v>
      </c>
      <c r="M34" s="9" t="str">
        <f>"M_"&amp;TEXT(I34,"000")&amp;"_A_"&amp;H34&amp;"_B_"&amp;SUM(F34:G34)</f>
        <v>M_575_A_4_B_1</v>
      </c>
      <c r="N34" s="9" t="str">
        <f>"PvP"&amp;B34&amp;"-"&amp;C34&amp;"_Duelo"&amp;D34&amp;"-"&amp;E34&amp;"_Barcos"&amp;F34&amp;"-"&amp;G34</f>
        <v>PvP2-1_Duelo0-0_Barcos0-1</v>
      </c>
    </row>
    <row r="35" spans="1:14" x14ac:dyDescent="0.3">
      <c r="A35" s="9">
        <v>33</v>
      </c>
      <c r="B35" s="5">
        <v>0</v>
      </c>
      <c r="C35" s="5">
        <v>0</v>
      </c>
      <c r="D35" s="6">
        <v>2</v>
      </c>
      <c r="E35" s="6">
        <v>0</v>
      </c>
      <c r="F35" s="10">
        <v>0</v>
      </c>
      <c r="G35" s="10">
        <v>1</v>
      </c>
      <c r="H35" s="9">
        <f>SUM(B35:G35)</f>
        <v>3</v>
      </c>
      <c r="I35" s="9">
        <f>B35*200+C35*100+D35*250+E35*100+F35*125+G35*75</f>
        <v>575</v>
      </c>
      <c r="J35" s="9" t="str">
        <f>IF(SUM(B35:G35)=0,"Sin ataques",TRIM(_xlfn.CONCAT(IF(B35+C35&gt;0,"PvP ("&amp;B35&amp;"-"&amp;C35&amp;") ",""),IF(D35+E35&gt;0,"Duelo ("&amp;D35&amp;"-"&amp;E35&amp;") ",""),IF(F35+G35&gt;0,"Barcos ("&amp;F35&amp;"-"&amp;G35&amp;")",""))))</f>
        <v>Duelo (2-0) Barcos (0-1)</v>
      </c>
      <c r="K35" s="9" t="s">
        <v>11</v>
      </c>
      <c r="L35" s="9">
        <v>1</v>
      </c>
      <c r="M35" s="9" t="str">
        <f>"M_"&amp;TEXT(I35,"000")&amp;"_A_"&amp;H35&amp;"_B_"&amp;SUM(F35:G35)</f>
        <v>M_575_A_3_B_1</v>
      </c>
      <c r="N35" s="9" t="str">
        <f>"PvP"&amp;B35&amp;"-"&amp;C35&amp;"_Duelo"&amp;D35&amp;"-"&amp;E35&amp;"_Barcos"&amp;F35&amp;"-"&amp;G35</f>
        <v>PvP0-0_Duelo2-0_Barcos0-1</v>
      </c>
    </row>
    <row r="36" spans="1:14" x14ac:dyDescent="0.3">
      <c r="A36" s="9">
        <v>34</v>
      </c>
      <c r="B36" s="5">
        <v>2</v>
      </c>
      <c r="C36" s="5">
        <v>0</v>
      </c>
      <c r="D36" s="6">
        <v>0</v>
      </c>
      <c r="E36" s="6">
        <v>0</v>
      </c>
      <c r="F36" s="10">
        <v>0</v>
      </c>
      <c r="G36" s="10">
        <v>2</v>
      </c>
      <c r="H36" s="9">
        <f>SUM(B36:G36)</f>
        <v>4</v>
      </c>
      <c r="I36" s="9">
        <f>B36*200+C36*100+D36*250+E36*100+F36*125+G36*75</f>
        <v>550</v>
      </c>
      <c r="J36" s="9" t="str">
        <f>IF(SUM(B36:G36)=0,"Sin ataques",TRIM(_xlfn.CONCAT(IF(B36+C36&gt;0,"PvP ("&amp;B36&amp;"-"&amp;C36&amp;") ",""),IF(D36+E36&gt;0,"Duelo ("&amp;D36&amp;"-"&amp;E36&amp;") ",""),IF(F36+G36&gt;0,"Barcos ("&amp;F36&amp;"-"&amp;G36&amp;")",""))))</f>
        <v>PvP (2-0) Barcos (0-2)</v>
      </c>
      <c r="K36" s="9" t="s">
        <v>11</v>
      </c>
      <c r="L36" s="9">
        <v>1</v>
      </c>
      <c r="M36" s="9" t="str">
        <f>"M_"&amp;TEXT(I36,"000")&amp;"_A_"&amp;H36&amp;"_B_"&amp;SUM(F36:G36)</f>
        <v>M_550_A_4_B_2</v>
      </c>
      <c r="N36" s="9" t="str">
        <f>"PvP"&amp;B36&amp;"-"&amp;C36&amp;"_Duelo"&amp;D36&amp;"-"&amp;E36&amp;"_Barcos"&amp;F36&amp;"-"&amp;G36</f>
        <v>PvP2-0_Duelo0-0_Barcos0-2</v>
      </c>
    </row>
    <row r="37" spans="1:14" x14ac:dyDescent="0.3">
      <c r="A37" s="9">
        <v>35</v>
      </c>
      <c r="B37" s="5">
        <v>1</v>
      </c>
      <c r="C37" s="5">
        <v>1</v>
      </c>
      <c r="D37" s="6">
        <v>0</v>
      </c>
      <c r="E37" s="6">
        <v>0</v>
      </c>
      <c r="F37" s="10">
        <v>2</v>
      </c>
      <c r="G37" s="10">
        <v>0</v>
      </c>
      <c r="H37" s="9">
        <f>SUM(B37:G37)</f>
        <v>4</v>
      </c>
      <c r="I37" s="9">
        <f>B37*200+C37*100+D37*250+E37*100+F37*125+G37*75</f>
        <v>550</v>
      </c>
      <c r="J37" s="9" t="str">
        <f>IF(SUM(B37:G37)=0,"Sin ataques",TRIM(_xlfn.CONCAT(IF(B37+C37&gt;0,"PvP ("&amp;B37&amp;"-"&amp;C37&amp;") ",""),IF(D37+E37&gt;0,"Duelo ("&amp;D37&amp;"-"&amp;E37&amp;") ",""),IF(F37+G37&gt;0,"Barcos ("&amp;F37&amp;"-"&amp;G37&amp;")",""))))</f>
        <v>PvP (1-1) Barcos (2-0)</v>
      </c>
      <c r="K37" s="9" t="s">
        <v>11</v>
      </c>
      <c r="L37" s="9">
        <v>1</v>
      </c>
      <c r="M37" s="9" t="str">
        <f>"M_"&amp;TEXT(I37,"000")&amp;"_A_"&amp;H37&amp;"_B_"&amp;SUM(F37:G37)</f>
        <v>M_550_A_4_B_2</v>
      </c>
      <c r="N37" s="9" t="str">
        <f>"PvP"&amp;B37&amp;"-"&amp;C37&amp;"_Duelo"&amp;D37&amp;"-"&amp;E37&amp;"_Barcos"&amp;F37&amp;"-"&amp;G37</f>
        <v>PvP1-1_Duelo0-0_Barcos2-0</v>
      </c>
    </row>
    <row r="38" spans="1:14" x14ac:dyDescent="0.3">
      <c r="A38" s="9">
        <v>36</v>
      </c>
      <c r="B38" s="5">
        <v>0</v>
      </c>
      <c r="C38" s="5">
        <v>1</v>
      </c>
      <c r="D38" s="6">
        <v>1</v>
      </c>
      <c r="E38" s="6">
        <v>2</v>
      </c>
      <c r="F38" s="10">
        <v>0</v>
      </c>
      <c r="G38" s="10">
        <v>0</v>
      </c>
      <c r="H38" s="9">
        <f>SUM(B38:G38)</f>
        <v>4</v>
      </c>
      <c r="I38" s="9">
        <f>B38*200+C38*100+D38*250+E38*100+F38*125+G38*75</f>
        <v>550</v>
      </c>
      <c r="J38" s="9" t="str">
        <f>IF(SUM(B38:G38)=0,"Sin ataques",TRIM(_xlfn.CONCAT(IF(B38+C38&gt;0,"PvP ("&amp;B38&amp;"-"&amp;C38&amp;") ",""),IF(D38+E38&gt;0,"Duelo ("&amp;D38&amp;"-"&amp;E38&amp;") ",""),IF(F38+G38&gt;0,"Barcos ("&amp;F38&amp;"-"&amp;G38&amp;")",""))))</f>
        <v>PvP (0-1) Duelo (1-2)</v>
      </c>
      <c r="K38" s="9" t="s">
        <v>11</v>
      </c>
      <c r="L38" s="9">
        <v>1</v>
      </c>
      <c r="M38" s="9" t="str">
        <f>"M_"&amp;TEXT(I38,"000")&amp;"_A_"&amp;H38&amp;"_B_"&amp;SUM(F38:G38)</f>
        <v>M_550_A_4_B_0</v>
      </c>
      <c r="N38" s="9" t="str">
        <f>"PvP"&amp;B38&amp;"-"&amp;C38&amp;"_Duelo"&amp;D38&amp;"-"&amp;E38&amp;"_Barcos"&amp;F38&amp;"-"&amp;G38</f>
        <v>PvP0-1_Duelo1-2_Barcos0-0</v>
      </c>
    </row>
    <row r="39" spans="1:14" x14ac:dyDescent="0.3">
      <c r="A39" s="9">
        <v>37</v>
      </c>
      <c r="B39" s="5">
        <v>1</v>
      </c>
      <c r="C39" s="5">
        <v>0</v>
      </c>
      <c r="D39" s="6">
        <v>0</v>
      </c>
      <c r="E39" s="6">
        <v>0</v>
      </c>
      <c r="F39" s="10">
        <v>2</v>
      </c>
      <c r="G39" s="10">
        <v>1</v>
      </c>
      <c r="H39" s="9">
        <f>SUM(B39:G39)</f>
        <v>4</v>
      </c>
      <c r="I39" s="9">
        <f>B39*200+C39*100+D39*250+E39*100+F39*125+G39*75</f>
        <v>525</v>
      </c>
      <c r="J39" s="9" t="str">
        <f>IF(SUM(B39:G39)=0,"Sin ataques",TRIM(_xlfn.CONCAT(IF(B39+C39&gt;0,"PvP ("&amp;B39&amp;"-"&amp;C39&amp;") ",""),IF(D39+E39&gt;0,"Duelo ("&amp;D39&amp;"-"&amp;E39&amp;") ",""),IF(F39+G39&gt;0,"Barcos ("&amp;F39&amp;"-"&amp;G39&amp;")",""))))</f>
        <v>PvP (1-0) Barcos (2-1)</v>
      </c>
      <c r="K39" s="9" t="s">
        <v>11</v>
      </c>
      <c r="L39" s="9">
        <v>1</v>
      </c>
      <c r="M39" s="9" t="str">
        <f>"M_"&amp;TEXT(I39,"000")&amp;"_A_"&amp;H39&amp;"_B_"&amp;SUM(F39:G39)</f>
        <v>M_525_A_4_B_3</v>
      </c>
      <c r="N39" s="9" t="str">
        <f>"PvP"&amp;B39&amp;"-"&amp;C39&amp;"_Duelo"&amp;D39&amp;"-"&amp;E39&amp;"_Barcos"&amp;F39&amp;"-"&amp;G39</f>
        <v>PvP1-0_Duelo0-0_Barcos2-1</v>
      </c>
    </row>
    <row r="40" spans="1:14" x14ac:dyDescent="0.3">
      <c r="A40" s="9">
        <v>38</v>
      </c>
      <c r="B40" s="5">
        <v>0</v>
      </c>
      <c r="C40" s="5">
        <v>0</v>
      </c>
      <c r="D40" s="6">
        <v>1</v>
      </c>
      <c r="E40" s="6">
        <v>2</v>
      </c>
      <c r="F40" s="10">
        <v>0</v>
      </c>
      <c r="G40" s="10">
        <v>1</v>
      </c>
      <c r="H40" s="9">
        <f>SUM(B40:G40)</f>
        <v>4</v>
      </c>
      <c r="I40" s="9">
        <f>B40*200+C40*100+D40*250+E40*100+F40*125+G40*75</f>
        <v>525</v>
      </c>
      <c r="J40" s="9" t="str">
        <f>IF(SUM(B40:G40)=0,"Sin ataques",TRIM(_xlfn.CONCAT(IF(B40+C40&gt;0,"PvP ("&amp;B40&amp;"-"&amp;C40&amp;") ",""),IF(D40+E40&gt;0,"Duelo ("&amp;D40&amp;"-"&amp;E40&amp;") ",""),IF(F40+G40&gt;0,"Barcos ("&amp;F40&amp;"-"&amp;G40&amp;")",""))))</f>
        <v>Duelo (1-2) Barcos (0-1)</v>
      </c>
      <c r="K40" s="9" t="s">
        <v>11</v>
      </c>
      <c r="L40" s="9">
        <v>1</v>
      </c>
      <c r="M40" s="9" t="str">
        <f>"M_"&amp;TEXT(I40,"000")&amp;"_A_"&amp;H40&amp;"_B_"&amp;SUM(F40:G40)</f>
        <v>M_525_A_4_B_1</v>
      </c>
      <c r="N40" s="9" t="str">
        <f>"PvP"&amp;B40&amp;"-"&amp;C40&amp;"_Duelo"&amp;D40&amp;"-"&amp;E40&amp;"_Barcos"&amp;F40&amp;"-"&amp;G40</f>
        <v>PvP0-0_Duelo1-2_Barcos0-1</v>
      </c>
    </row>
    <row r="41" spans="1:14" x14ac:dyDescent="0.3">
      <c r="A41" s="9">
        <v>39</v>
      </c>
      <c r="B41" s="5">
        <v>1</v>
      </c>
      <c r="C41" s="5">
        <v>0</v>
      </c>
      <c r="D41" s="6">
        <v>0</v>
      </c>
      <c r="E41" s="6">
        <v>2</v>
      </c>
      <c r="F41" s="10">
        <v>1</v>
      </c>
      <c r="G41" s="10">
        <v>0</v>
      </c>
      <c r="H41" s="9">
        <f>SUM(B41:G41)</f>
        <v>4</v>
      </c>
      <c r="I41" s="9">
        <f>B41*200+C41*100+D41*250+E41*100+F41*125+G41*75</f>
        <v>525</v>
      </c>
      <c r="J41" s="9" t="str">
        <f>IF(SUM(B41:G41)=0,"Sin ataques",TRIM(_xlfn.CONCAT(IF(B41+C41&gt;0,"PvP ("&amp;B41&amp;"-"&amp;C41&amp;") ",""),IF(D41+E41&gt;0,"Duelo ("&amp;D41&amp;"-"&amp;E41&amp;") ",""),IF(F41+G41&gt;0,"Barcos ("&amp;F41&amp;"-"&amp;G41&amp;")",""))))</f>
        <v>PvP (1-0) Duelo (0-2) Barcos (1-0)</v>
      </c>
      <c r="K41" s="9" t="s">
        <v>11</v>
      </c>
      <c r="L41" s="9">
        <v>1</v>
      </c>
      <c r="M41" s="9" t="str">
        <f>"M_"&amp;TEXT(I41,"000")&amp;"_A_"&amp;H41&amp;"_B_"&amp;SUM(F41:G41)</f>
        <v>M_525_A_4_B_1</v>
      </c>
      <c r="N41" s="9" t="str">
        <f>"PvP"&amp;B41&amp;"-"&amp;C41&amp;"_Duelo"&amp;D41&amp;"-"&amp;E41&amp;"_Barcos"&amp;F41&amp;"-"&amp;G41</f>
        <v>PvP1-0_Duelo0-2_Barcos1-0</v>
      </c>
    </row>
    <row r="42" spans="1:14" x14ac:dyDescent="0.3">
      <c r="A42" s="9">
        <v>40</v>
      </c>
      <c r="B42" s="5">
        <v>1</v>
      </c>
      <c r="C42" s="5">
        <v>2</v>
      </c>
      <c r="D42" s="6">
        <v>0</v>
      </c>
      <c r="E42" s="6">
        <v>0</v>
      </c>
      <c r="F42" s="10">
        <v>1</v>
      </c>
      <c r="G42" s="10">
        <v>0</v>
      </c>
      <c r="H42" s="9">
        <f>SUM(B42:G42)</f>
        <v>4</v>
      </c>
      <c r="I42" s="9">
        <f>B42*200+C42*100+D42*250+E42*100+F42*125+G42*75</f>
        <v>525</v>
      </c>
      <c r="J42" s="9" t="str">
        <f>IF(SUM(B42:G42)=0,"Sin ataques",TRIM(_xlfn.CONCAT(IF(B42+C42&gt;0,"PvP ("&amp;B42&amp;"-"&amp;C42&amp;") ",""),IF(D42+E42&gt;0,"Duelo ("&amp;D42&amp;"-"&amp;E42&amp;") ",""),IF(F42+G42&gt;0,"Barcos ("&amp;F42&amp;"-"&amp;G42&amp;")",""))))</f>
        <v>PvP (1-2) Barcos (1-0)</v>
      </c>
      <c r="K42" s="9" t="s">
        <v>11</v>
      </c>
      <c r="L42" s="9">
        <v>1</v>
      </c>
      <c r="M42" s="9" t="str">
        <f>"M_"&amp;TEXT(I42,"000")&amp;"_A_"&amp;H42&amp;"_B_"&amp;SUM(F42:G42)</f>
        <v>M_525_A_4_B_1</v>
      </c>
      <c r="N42" s="9" t="str">
        <f>"PvP"&amp;B42&amp;"-"&amp;C42&amp;"_Duelo"&amp;D42&amp;"-"&amp;E42&amp;"_Barcos"&amp;F42&amp;"-"&amp;G42</f>
        <v>PvP1-2_Duelo0-0_Barcos1-0</v>
      </c>
    </row>
    <row r="43" spans="1:14" x14ac:dyDescent="0.3">
      <c r="A43" s="9">
        <v>41</v>
      </c>
      <c r="B43" s="5">
        <v>2</v>
      </c>
      <c r="C43" s="5">
        <v>0</v>
      </c>
      <c r="D43" s="6">
        <v>0</v>
      </c>
      <c r="E43" s="6">
        <v>0</v>
      </c>
      <c r="F43" s="10">
        <v>1</v>
      </c>
      <c r="G43" s="10">
        <v>0</v>
      </c>
      <c r="H43" s="9">
        <f>SUM(B43:G43)</f>
        <v>3</v>
      </c>
      <c r="I43" s="9">
        <f>B43*200+C43*100+D43*250+E43*100+F43*125+G43*75</f>
        <v>525</v>
      </c>
      <c r="J43" s="9" t="str">
        <f>IF(SUM(B43:G43)=0,"Sin ataques",TRIM(_xlfn.CONCAT(IF(B43+C43&gt;0,"PvP ("&amp;B43&amp;"-"&amp;C43&amp;") ",""),IF(D43+E43&gt;0,"Duelo ("&amp;D43&amp;"-"&amp;E43&amp;") ",""),IF(F43+G43&gt;0,"Barcos ("&amp;F43&amp;"-"&amp;G43&amp;")",""))))</f>
        <v>PvP (2-0) Barcos (1-0)</v>
      </c>
      <c r="K43" s="9" t="s">
        <v>11</v>
      </c>
      <c r="L43" s="9">
        <v>1</v>
      </c>
      <c r="M43" s="9" t="str">
        <f>"M_"&amp;TEXT(I43,"000")&amp;"_A_"&amp;H43&amp;"_B_"&amp;SUM(F43:G43)</f>
        <v>M_525_A_3_B_1</v>
      </c>
      <c r="N43" s="9" t="str">
        <f>"PvP"&amp;B43&amp;"-"&amp;C43&amp;"_Duelo"&amp;D43&amp;"-"&amp;E43&amp;"_Barcos"&amp;F43&amp;"-"&amp;G43</f>
        <v>PvP2-0_Duelo0-0_Barcos1-0</v>
      </c>
    </row>
    <row r="44" spans="1:14" x14ac:dyDescent="0.3">
      <c r="A44" s="9">
        <v>42</v>
      </c>
      <c r="B44" s="5">
        <v>0</v>
      </c>
      <c r="C44" s="5">
        <v>0</v>
      </c>
      <c r="D44" s="6">
        <v>0</v>
      </c>
      <c r="E44" s="6">
        <v>0</v>
      </c>
      <c r="F44" s="10">
        <v>4</v>
      </c>
      <c r="G44" s="10">
        <v>0</v>
      </c>
      <c r="H44" s="9">
        <f>SUM(B44:G44)</f>
        <v>4</v>
      </c>
      <c r="I44" s="9">
        <f>B44*200+C44*100+D44*250+E44*100+F44*125+G44*75</f>
        <v>500</v>
      </c>
      <c r="J44" s="9" t="str">
        <f>IF(SUM(B44:G44)=0,"Sin ataques",TRIM(_xlfn.CONCAT(IF(B44+C44&gt;0,"PvP ("&amp;B44&amp;"-"&amp;C44&amp;") ",""),IF(D44+E44&gt;0,"Duelo ("&amp;D44&amp;"-"&amp;E44&amp;") ",""),IF(F44+G44&gt;0,"Barcos ("&amp;F44&amp;"-"&amp;G44&amp;")",""))))</f>
        <v>Barcos (4-0)</v>
      </c>
      <c r="K44" s="9" t="s">
        <v>11</v>
      </c>
      <c r="L44" s="9">
        <v>1</v>
      </c>
      <c r="M44" s="9" t="str">
        <f>"M_"&amp;TEXT(I44,"000")&amp;"_A_"&amp;H44&amp;"_B_"&amp;SUM(F44:G44)</f>
        <v>M_500_A_4_B_4</v>
      </c>
      <c r="N44" s="9" t="str">
        <f>"PvP"&amp;B44&amp;"-"&amp;C44&amp;"_Duelo"&amp;D44&amp;"-"&amp;E44&amp;"_Barcos"&amp;F44&amp;"-"&amp;G44</f>
        <v>PvP0-0_Duelo0-0_Barcos4-0</v>
      </c>
    </row>
    <row r="45" spans="1:14" x14ac:dyDescent="0.3">
      <c r="A45" s="9">
        <v>43</v>
      </c>
      <c r="B45" s="5">
        <v>1</v>
      </c>
      <c r="C45" s="5">
        <v>1</v>
      </c>
      <c r="D45" s="6">
        <v>0</v>
      </c>
      <c r="E45" s="6">
        <v>0</v>
      </c>
      <c r="F45" s="10">
        <v>1</v>
      </c>
      <c r="G45" s="10">
        <v>1</v>
      </c>
      <c r="H45" s="9">
        <f>SUM(B45:G45)</f>
        <v>4</v>
      </c>
      <c r="I45" s="9">
        <f>B45*200+C45*100+D45*250+E45*100+F45*125+G45*75</f>
        <v>500</v>
      </c>
      <c r="J45" s="9" t="str">
        <f>IF(SUM(B45:G45)=0,"Sin ataques",TRIM(_xlfn.CONCAT(IF(B45+C45&gt;0,"PvP ("&amp;B45&amp;"-"&amp;C45&amp;") ",""),IF(D45+E45&gt;0,"Duelo ("&amp;D45&amp;"-"&amp;E45&amp;") ",""),IF(F45+G45&gt;0,"Barcos ("&amp;F45&amp;"-"&amp;G45&amp;")",""))))</f>
        <v>PvP (1-1) Barcos (1-1)</v>
      </c>
      <c r="K45" s="9" t="s">
        <v>11</v>
      </c>
      <c r="L45" s="9">
        <v>1</v>
      </c>
      <c r="M45" s="9" t="str">
        <f>"M_"&amp;TEXT(I45,"000")&amp;"_A_"&amp;H45&amp;"_B_"&amp;SUM(F45:G45)</f>
        <v>M_500_A_4_B_2</v>
      </c>
      <c r="N45" s="9" t="str">
        <f>"PvP"&amp;B45&amp;"-"&amp;C45&amp;"_Duelo"&amp;D45&amp;"-"&amp;E45&amp;"_Barcos"&amp;F45&amp;"-"&amp;G45</f>
        <v>PvP1-1_Duelo0-0_Barcos1-1</v>
      </c>
    </row>
    <row r="46" spans="1:14" x14ac:dyDescent="0.3">
      <c r="A46" s="9">
        <v>44</v>
      </c>
      <c r="B46" s="5">
        <v>1</v>
      </c>
      <c r="C46" s="5">
        <v>1</v>
      </c>
      <c r="D46" s="6">
        <v>0</v>
      </c>
      <c r="E46" s="6">
        <v>2</v>
      </c>
      <c r="F46" s="10">
        <v>0</v>
      </c>
      <c r="G46" s="10">
        <v>0</v>
      </c>
      <c r="H46" s="9">
        <f>SUM(B46:G46)</f>
        <v>4</v>
      </c>
      <c r="I46" s="9">
        <f>B46*200+C46*100+D46*250+E46*100+F46*125+G46*75</f>
        <v>500</v>
      </c>
      <c r="J46" s="9" t="str">
        <f>IF(SUM(B46:G46)=0,"Sin ataques",TRIM(_xlfn.CONCAT(IF(B46+C46&gt;0,"PvP ("&amp;B46&amp;"-"&amp;C46&amp;") ",""),IF(D46+E46&gt;0,"Duelo ("&amp;D46&amp;"-"&amp;E46&amp;") ",""),IF(F46+G46&gt;0,"Barcos ("&amp;F46&amp;"-"&amp;G46&amp;")",""))))</f>
        <v>PvP (1-1) Duelo (0-2)</v>
      </c>
      <c r="K46" s="9" t="s">
        <v>11</v>
      </c>
      <c r="L46" s="9">
        <v>1</v>
      </c>
      <c r="M46" s="9" t="str">
        <f>"M_"&amp;TEXT(I46,"000")&amp;"_A_"&amp;H46&amp;"_B_"&amp;SUM(F46:G46)</f>
        <v>M_500_A_4_B_0</v>
      </c>
      <c r="N46" s="9" t="str">
        <f>"PvP"&amp;B46&amp;"-"&amp;C46&amp;"_Duelo"&amp;D46&amp;"-"&amp;E46&amp;"_Barcos"&amp;F46&amp;"-"&amp;G46</f>
        <v>PvP1-1_Duelo0-2_Barcos0-0</v>
      </c>
    </row>
    <row r="47" spans="1:14" x14ac:dyDescent="0.3">
      <c r="A47" s="9">
        <v>45</v>
      </c>
      <c r="B47" s="5">
        <v>1</v>
      </c>
      <c r="C47" s="5">
        <v>3</v>
      </c>
      <c r="D47" s="6">
        <v>0</v>
      </c>
      <c r="E47" s="6">
        <v>0</v>
      </c>
      <c r="F47" s="10">
        <v>0</v>
      </c>
      <c r="G47" s="10">
        <v>0</v>
      </c>
      <c r="H47" s="9">
        <f>SUM(B47:G47)</f>
        <v>4</v>
      </c>
      <c r="I47" s="9">
        <f>B47*200+C47*100+D47*250+E47*100+F47*125+G47*75</f>
        <v>500</v>
      </c>
      <c r="J47" s="9" t="str">
        <f>IF(SUM(B47:G47)=0,"Sin ataques",TRIM(_xlfn.CONCAT(IF(B47+C47&gt;0,"PvP ("&amp;B47&amp;"-"&amp;C47&amp;") ",""),IF(D47+E47&gt;0,"Duelo ("&amp;D47&amp;"-"&amp;E47&amp;") ",""),IF(F47+G47&gt;0,"Barcos ("&amp;F47&amp;"-"&amp;G47&amp;")",""))))</f>
        <v>PvP (1-3)</v>
      </c>
      <c r="K47" s="9" t="s">
        <v>11</v>
      </c>
      <c r="L47" s="9">
        <v>1</v>
      </c>
      <c r="M47" s="9" t="str">
        <f>"M_"&amp;TEXT(I47,"000")&amp;"_A_"&amp;H47&amp;"_B_"&amp;SUM(F47:G47)</f>
        <v>M_500_A_4_B_0</v>
      </c>
      <c r="N47" s="9" t="str">
        <f>"PvP"&amp;B47&amp;"-"&amp;C47&amp;"_Duelo"&amp;D47&amp;"-"&amp;E47&amp;"_Barcos"&amp;F47&amp;"-"&amp;G47</f>
        <v>PvP1-3_Duelo0-0_Barcos0-0</v>
      </c>
    </row>
    <row r="48" spans="1:14" x14ac:dyDescent="0.3">
      <c r="A48" s="9">
        <v>46</v>
      </c>
      <c r="B48" s="5">
        <v>2</v>
      </c>
      <c r="C48" s="5">
        <v>1</v>
      </c>
      <c r="D48" s="6">
        <v>0</v>
      </c>
      <c r="E48" s="6">
        <v>0</v>
      </c>
      <c r="F48" s="10">
        <v>0</v>
      </c>
      <c r="G48" s="10">
        <v>0</v>
      </c>
      <c r="H48" s="9">
        <f>SUM(B48:G48)</f>
        <v>3</v>
      </c>
      <c r="I48" s="9">
        <f>B48*200+C48*100+D48*250+E48*100+F48*125+G48*75</f>
        <v>500</v>
      </c>
      <c r="J48" s="9" t="str">
        <f>IF(SUM(B48:G48)=0,"Sin ataques",TRIM(_xlfn.CONCAT(IF(B48+C48&gt;0,"PvP ("&amp;B48&amp;"-"&amp;C48&amp;") ",""),IF(D48+E48&gt;0,"Duelo ("&amp;D48&amp;"-"&amp;E48&amp;") ",""),IF(F48+G48&gt;0,"Barcos ("&amp;F48&amp;"-"&amp;G48&amp;")",""))))</f>
        <v>PvP (2-1)</v>
      </c>
      <c r="K48" s="9" t="s">
        <v>11</v>
      </c>
      <c r="L48" s="9">
        <v>1</v>
      </c>
      <c r="M48" s="9" t="str">
        <f>"M_"&amp;TEXT(I48,"000")&amp;"_A_"&amp;H48&amp;"_B_"&amp;SUM(F48:G48)</f>
        <v>M_500_A_3_B_0</v>
      </c>
      <c r="N48" s="9" t="str">
        <f>"PvP"&amp;B48&amp;"-"&amp;C48&amp;"_Duelo"&amp;D48&amp;"-"&amp;E48&amp;"_Barcos"&amp;F48&amp;"-"&amp;G48</f>
        <v>PvP2-1_Duelo0-0_Barcos0-0</v>
      </c>
    </row>
    <row r="49" spans="1:14" x14ac:dyDescent="0.3">
      <c r="A49" s="9">
        <v>47</v>
      </c>
      <c r="B49" s="5">
        <v>0</v>
      </c>
      <c r="C49" s="5">
        <v>0</v>
      </c>
      <c r="D49" s="6">
        <v>2</v>
      </c>
      <c r="E49" s="6">
        <v>0</v>
      </c>
      <c r="F49" s="10">
        <v>0</v>
      </c>
      <c r="G49" s="10">
        <v>0</v>
      </c>
      <c r="H49" s="9">
        <f>SUM(B49:G49)</f>
        <v>2</v>
      </c>
      <c r="I49" s="9">
        <f>B49*200+C49*100+D49*250+E49*100+F49*125+G49*75</f>
        <v>500</v>
      </c>
      <c r="J49" s="9" t="str">
        <f>IF(SUM(B49:G49)=0,"Sin ataques",TRIM(_xlfn.CONCAT(IF(B49+C49&gt;0,"PvP ("&amp;B49&amp;"-"&amp;C49&amp;") ",""),IF(D49+E49&gt;0,"Duelo ("&amp;D49&amp;"-"&amp;E49&amp;") ",""),IF(F49+G49&gt;0,"Barcos ("&amp;F49&amp;"-"&amp;G49&amp;")",""))))</f>
        <v>Duelo (2-0)</v>
      </c>
      <c r="K49" s="9" t="s">
        <v>11</v>
      </c>
      <c r="L49" s="9">
        <v>1</v>
      </c>
      <c r="M49" s="9" t="str">
        <f>"M_"&amp;TEXT(I49,"000")&amp;"_A_"&amp;H49&amp;"_B_"&amp;SUM(F49:G49)</f>
        <v>M_500_A_2_B_0</v>
      </c>
      <c r="N49" s="9" t="str">
        <f>"PvP"&amp;B49&amp;"-"&amp;C49&amp;"_Duelo"&amp;D49&amp;"-"&amp;E49&amp;"_Barcos"&amp;F49&amp;"-"&amp;G49</f>
        <v>PvP0-0_Duelo2-0_Barcos0-0</v>
      </c>
    </row>
    <row r="50" spans="1:14" x14ac:dyDescent="0.3">
      <c r="A50" s="9">
        <v>48</v>
      </c>
      <c r="B50" s="5">
        <v>1</v>
      </c>
      <c r="C50" s="5">
        <v>0</v>
      </c>
      <c r="D50" s="6">
        <v>0</v>
      </c>
      <c r="E50" s="6">
        <v>0</v>
      </c>
      <c r="F50" s="10">
        <v>1</v>
      </c>
      <c r="G50" s="10">
        <v>2</v>
      </c>
      <c r="H50" s="9">
        <f>SUM(B50:G50)</f>
        <v>4</v>
      </c>
      <c r="I50" s="9">
        <f>B50*200+C50*100+D50*250+E50*100+F50*125+G50*75</f>
        <v>475</v>
      </c>
      <c r="J50" s="9" t="str">
        <f>IF(SUM(B50:G50)=0,"Sin ataques",TRIM(_xlfn.CONCAT(IF(B50+C50&gt;0,"PvP ("&amp;B50&amp;"-"&amp;C50&amp;") ",""),IF(D50+E50&gt;0,"Duelo ("&amp;D50&amp;"-"&amp;E50&amp;") ",""),IF(F50+G50&gt;0,"Barcos ("&amp;F50&amp;"-"&amp;G50&amp;")",""))))</f>
        <v>PvP (1-0) Barcos (1-2)</v>
      </c>
      <c r="K50" s="9" t="s">
        <v>11</v>
      </c>
      <c r="L50" s="9">
        <v>1</v>
      </c>
      <c r="M50" s="9" t="str">
        <f>"M_"&amp;TEXT(I50,"000")&amp;"_A_"&amp;H50&amp;"_B_"&amp;SUM(F50:G50)</f>
        <v>M_475_A_4_B_3</v>
      </c>
      <c r="N50" s="9" t="str">
        <f>"PvP"&amp;B50&amp;"-"&amp;C50&amp;"_Duelo"&amp;D50&amp;"-"&amp;E50&amp;"_Barcos"&amp;F50&amp;"-"&amp;G50</f>
        <v>PvP1-0_Duelo0-0_Barcos1-2</v>
      </c>
    </row>
    <row r="51" spans="1:14" x14ac:dyDescent="0.3">
      <c r="A51" s="9">
        <v>49</v>
      </c>
      <c r="B51" s="5">
        <v>0</v>
      </c>
      <c r="C51" s="5">
        <v>1</v>
      </c>
      <c r="D51" s="6">
        <v>0</v>
      </c>
      <c r="E51" s="6">
        <v>0</v>
      </c>
      <c r="F51" s="10">
        <v>3</v>
      </c>
      <c r="G51" s="10">
        <v>0</v>
      </c>
      <c r="H51" s="9">
        <f>SUM(B51:G51)</f>
        <v>4</v>
      </c>
      <c r="I51" s="9">
        <f>B51*200+C51*100+D51*250+E51*100+F51*125+G51*75</f>
        <v>475</v>
      </c>
      <c r="J51" s="9" t="str">
        <f>IF(SUM(B51:G51)=0,"Sin ataques",TRIM(_xlfn.CONCAT(IF(B51+C51&gt;0,"PvP ("&amp;B51&amp;"-"&amp;C51&amp;") ",""),IF(D51+E51&gt;0,"Duelo ("&amp;D51&amp;"-"&amp;E51&amp;") ",""),IF(F51+G51&gt;0,"Barcos ("&amp;F51&amp;"-"&amp;G51&amp;")",""))))</f>
        <v>PvP (0-1) Barcos (3-0)</v>
      </c>
      <c r="K51" s="9" t="s">
        <v>11</v>
      </c>
      <c r="L51" s="9">
        <v>1</v>
      </c>
      <c r="M51" s="9" t="str">
        <f>"M_"&amp;TEXT(I51,"000")&amp;"_A_"&amp;H51&amp;"_B_"&amp;SUM(F51:G51)</f>
        <v>M_475_A_4_B_3</v>
      </c>
      <c r="N51" s="9" t="str">
        <f>"PvP"&amp;B51&amp;"-"&amp;C51&amp;"_Duelo"&amp;D51&amp;"-"&amp;E51&amp;"_Barcos"&amp;F51&amp;"-"&amp;G51</f>
        <v>PvP0-1_Duelo0-0_Barcos3-0</v>
      </c>
    </row>
    <row r="52" spans="1:14" x14ac:dyDescent="0.3">
      <c r="A52" s="9">
        <v>50</v>
      </c>
      <c r="B52" s="5">
        <v>1</v>
      </c>
      <c r="C52" s="5">
        <v>0</v>
      </c>
      <c r="D52" s="6">
        <v>0</v>
      </c>
      <c r="E52" s="6">
        <v>2</v>
      </c>
      <c r="F52" s="10">
        <v>0</v>
      </c>
      <c r="G52" s="10">
        <v>1</v>
      </c>
      <c r="H52" s="9">
        <f>SUM(B52:G52)</f>
        <v>4</v>
      </c>
      <c r="I52" s="9">
        <f>B52*200+C52*100+D52*250+E52*100+F52*125+G52*75</f>
        <v>475</v>
      </c>
      <c r="J52" s="9" t="str">
        <f>IF(SUM(B52:G52)=0,"Sin ataques",TRIM(_xlfn.CONCAT(IF(B52+C52&gt;0,"PvP ("&amp;B52&amp;"-"&amp;C52&amp;") ",""),IF(D52+E52&gt;0,"Duelo ("&amp;D52&amp;"-"&amp;E52&amp;") ",""),IF(F52+G52&gt;0,"Barcos ("&amp;F52&amp;"-"&amp;G52&amp;")",""))))</f>
        <v>PvP (1-0) Duelo (0-2) Barcos (0-1)</v>
      </c>
      <c r="K52" s="9" t="s">
        <v>11</v>
      </c>
      <c r="L52" s="9">
        <v>1</v>
      </c>
      <c r="M52" s="9" t="str">
        <f>"M_"&amp;TEXT(I52,"000")&amp;"_A_"&amp;H52&amp;"_B_"&amp;SUM(F52:G52)</f>
        <v>M_475_A_4_B_1</v>
      </c>
      <c r="N52" s="9" t="str">
        <f>"PvP"&amp;B52&amp;"-"&amp;C52&amp;"_Duelo"&amp;D52&amp;"-"&amp;E52&amp;"_Barcos"&amp;F52&amp;"-"&amp;G52</f>
        <v>PvP1-0_Duelo0-2_Barcos0-1</v>
      </c>
    </row>
    <row r="53" spans="1:14" x14ac:dyDescent="0.3">
      <c r="A53" s="9">
        <v>51</v>
      </c>
      <c r="B53" s="5">
        <v>1</v>
      </c>
      <c r="C53" s="5">
        <v>2</v>
      </c>
      <c r="D53" s="6">
        <v>0</v>
      </c>
      <c r="E53" s="6">
        <v>0</v>
      </c>
      <c r="F53" s="10">
        <v>0</v>
      </c>
      <c r="G53" s="10">
        <v>1</v>
      </c>
      <c r="H53" s="9">
        <f>SUM(B53:G53)</f>
        <v>4</v>
      </c>
      <c r="I53" s="9">
        <f>B53*200+C53*100+D53*250+E53*100+F53*125+G53*75</f>
        <v>475</v>
      </c>
      <c r="J53" s="9" t="str">
        <f>IF(SUM(B53:G53)=0,"Sin ataques",TRIM(_xlfn.CONCAT(IF(B53+C53&gt;0,"PvP ("&amp;B53&amp;"-"&amp;C53&amp;") ",""),IF(D53+E53&gt;0,"Duelo ("&amp;D53&amp;"-"&amp;E53&amp;") ",""),IF(F53+G53&gt;0,"Barcos ("&amp;F53&amp;"-"&amp;G53&amp;")",""))))</f>
        <v>PvP (1-2) Barcos (0-1)</v>
      </c>
      <c r="K53" s="9" t="s">
        <v>11</v>
      </c>
      <c r="L53" s="9">
        <v>1</v>
      </c>
      <c r="M53" s="9" t="str">
        <f>"M_"&amp;TEXT(I53,"000")&amp;"_A_"&amp;H53&amp;"_B_"&amp;SUM(F53:G53)</f>
        <v>M_475_A_4_B_1</v>
      </c>
      <c r="N53" s="9" t="str">
        <f>"PvP"&amp;B53&amp;"-"&amp;C53&amp;"_Duelo"&amp;D53&amp;"-"&amp;E53&amp;"_Barcos"&amp;F53&amp;"-"&amp;G53</f>
        <v>PvP1-2_Duelo0-0_Barcos0-1</v>
      </c>
    </row>
    <row r="54" spans="1:14" x14ac:dyDescent="0.3">
      <c r="A54" s="9">
        <v>52</v>
      </c>
      <c r="B54" s="5">
        <v>2</v>
      </c>
      <c r="C54" s="5">
        <v>0</v>
      </c>
      <c r="D54" s="6">
        <v>0</v>
      </c>
      <c r="E54" s="6">
        <v>0</v>
      </c>
      <c r="F54" s="10">
        <v>0</v>
      </c>
      <c r="G54" s="10">
        <v>1</v>
      </c>
      <c r="H54" s="9">
        <f>SUM(B54:G54)</f>
        <v>3</v>
      </c>
      <c r="I54" s="9">
        <f>B54*200+C54*100+D54*250+E54*100+F54*125+G54*75</f>
        <v>475</v>
      </c>
      <c r="J54" s="9" t="str">
        <f>IF(SUM(B54:G54)=0,"Sin ataques",TRIM(_xlfn.CONCAT(IF(B54+C54&gt;0,"PvP ("&amp;B54&amp;"-"&amp;C54&amp;") ",""),IF(D54+E54&gt;0,"Duelo ("&amp;D54&amp;"-"&amp;E54&amp;") ",""),IF(F54+G54&gt;0,"Barcos ("&amp;F54&amp;"-"&amp;G54&amp;")",""))))</f>
        <v>PvP (2-0) Barcos (0-1)</v>
      </c>
      <c r="K54" s="9" t="s">
        <v>11</v>
      </c>
      <c r="L54" s="9">
        <v>1</v>
      </c>
      <c r="M54" s="9" t="str">
        <f>"M_"&amp;TEXT(I54,"000")&amp;"_A_"&amp;H54&amp;"_B_"&amp;SUM(F54:G54)</f>
        <v>M_475_A_3_B_1</v>
      </c>
      <c r="N54" s="9" t="str">
        <f>"PvP"&amp;B54&amp;"-"&amp;C54&amp;"_Duelo"&amp;D54&amp;"-"&amp;E54&amp;"_Barcos"&amp;F54&amp;"-"&amp;G54</f>
        <v>PvP2-0_Duelo0-0_Barcos0-1</v>
      </c>
    </row>
    <row r="55" spans="1:14" x14ac:dyDescent="0.3">
      <c r="A55" s="9">
        <v>53</v>
      </c>
      <c r="B55" s="5">
        <v>0</v>
      </c>
      <c r="C55" s="5">
        <v>0</v>
      </c>
      <c r="D55" s="6">
        <v>0</v>
      </c>
      <c r="E55" s="6">
        <v>0</v>
      </c>
      <c r="F55" s="10">
        <v>3</v>
      </c>
      <c r="G55" s="10">
        <v>1</v>
      </c>
      <c r="H55" s="9">
        <f>SUM(B55:G55)</f>
        <v>4</v>
      </c>
      <c r="I55" s="9">
        <f>B55*200+C55*100+D55*250+E55*100+F55*125+G55*75</f>
        <v>450</v>
      </c>
      <c r="J55" s="9" t="str">
        <f>IF(SUM(B55:G55)=0,"Sin ataques",TRIM(_xlfn.CONCAT(IF(B55+C55&gt;0,"PvP ("&amp;B55&amp;"-"&amp;C55&amp;") ",""),IF(D55+E55&gt;0,"Duelo ("&amp;D55&amp;"-"&amp;E55&amp;") ",""),IF(F55+G55&gt;0,"Barcos ("&amp;F55&amp;"-"&amp;G55&amp;")",""))))</f>
        <v>Barcos (3-1)</v>
      </c>
      <c r="K55" s="9" t="s">
        <v>11</v>
      </c>
      <c r="L55" s="9">
        <v>1</v>
      </c>
      <c r="M55" s="9" t="str">
        <f>"M_"&amp;TEXT(I55,"000")&amp;"_A_"&amp;H55&amp;"_B_"&amp;SUM(F55:G55)</f>
        <v>M_450_A_4_B_4</v>
      </c>
      <c r="N55" s="9" t="str">
        <f>"PvP"&amp;B55&amp;"-"&amp;C55&amp;"_Duelo"&amp;D55&amp;"-"&amp;E55&amp;"_Barcos"&amp;F55&amp;"-"&amp;G55</f>
        <v>PvP0-0_Duelo0-0_Barcos3-1</v>
      </c>
    </row>
    <row r="56" spans="1:14" x14ac:dyDescent="0.3">
      <c r="A56" s="9">
        <v>54</v>
      </c>
      <c r="B56" s="5">
        <v>0</v>
      </c>
      <c r="C56" s="5">
        <v>0</v>
      </c>
      <c r="D56" s="6">
        <v>0</v>
      </c>
      <c r="E56" s="6">
        <v>2</v>
      </c>
      <c r="F56" s="10">
        <v>2</v>
      </c>
      <c r="G56" s="10">
        <v>0</v>
      </c>
      <c r="H56" s="9">
        <f>SUM(B56:G56)</f>
        <v>4</v>
      </c>
      <c r="I56" s="9">
        <f>B56*200+C56*100+D56*250+E56*100+F56*125+G56*75</f>
        <v>450</v>
      </c>
      <c r="J56" s="9" t="str">
        <f>IF(SUM(B56:G56)=0,"Sin ataques",TRIM(_xlfn.CONCAT(IF(B56+C56&gt;0,"PvP ("&amp;B56&amp;"-"&amp;C56&amp;") ",""),IF(D56+E56&gt;0,"Duelo ("&amp;D56&amp;"-"&amp;E56&amp;") ",""),IF(F56+G56&gt;0,"Barcos ("&amp;F56&amp;"-"&amp;G56&amp;")",""))))</f>
        <v>Duelo (0-2) Barcos (2-0)</v>
      </c>
      <c r="K56" s="9" t="s">
        <v>11</v>
      </c>
      <c r="L56" s="9">
        <v>1</v>
      </c>
      <c r="M56" s="9" t="str">
        <f>"M_"&amp;TEXT(I56,"000")&amp;"_A_"&amp;H56&amp;"_B_"&amp;SUM(F56:G56)</f>
        <v>M_450_A_4_B_2</v>
      </c>
      <c r="N56" s="9" t="str">
        <f>"PvP"&amp;B56&amp;"-"&amp;C56&amp;"_Duelo"&amp;D56&amp;"-"&amp;E56&amp;"_Barcos"&amp;F56&amp;"-"&amp;G56</f>
        <v>PvP0-0_Duelo0-2_Barcos2-0</v>
      </c>
    </row>
    <row r="57" spans="1:14" x14ac:dyDescent="0.3">
      <c r="A57" s="9">
        <v>55</v>
      </c>
      <c r="B57" s="5">
        <v>1</v>
      </c>
      <c r="C57" s="5">
        <v>1</v>
      </c>
      <c r="D57" s="6">
        <v>0</v>
      </c>
      <c r="E57" s="6">
        <v>0</v>
      </c>
      <c r="F57" s="10">
        <v>0</v>
      </c>
      <c r="G57" s="10">
        <v>2</v>
      </c>
      <c r="H57" s="9">
        <f>SUM(B57:G57)</f>
        <v>4</v>
      </c>
      <c r="I57" s="9">
        <f>B57*200+C57*100+D57*250+E57*100+F57*125+G57*75</f>
        <v>450</v>
      </c>
      <c r="J57" s="9" t="str">
        <f>IF(SUM(B57:G57)=0,"Sin ataques",TRIM(_xlfn.CONCAT(IF(B57+C57&gt;0,"PvP ("&amp;B57&amp;"-"&amp;C57&amp;") ",""),IF(D57+E57&gt;0,"Duelo ("&amp;D57&amp;"-"&amp;E57&amp;") ",""),IF(F57+G57&gt;0,"Barcos ("&amp;F57&amp;"-"&amp;G57&amp;")",""))))</f>
        <v>PvP (1-1) Barcos (0-2)</v>
      </c>
      <c r="K57" s="9" t="s">
        <v>11</v>
      </c>
      <c r="L57" s="9">
        <v>1</v>
      </c>
      <c r="M57" s="9" t="str">
        <f>"M_"&amp;TEXT(I57,"000")&amp;"_A_"&amp;H57&amp;"_B_"&amp;SUM(F57:G57)</f>
        <v>M_450_A_4_B_2</v>
      </c>
      <c r="N57" s="9" t="str">
        <f>"PvP"&amp;B57&amp;"-"&amp;C57&amp;"_Duelo"&amp;D57&amp;"-"&amp;E57&amp;"_Barcos"&amp;F57&amp;"-"&amp;G57</f>
        <v>PvP1-1_Duelo0-0_Barcos0-2</v>
      </c>
    </row>
    <row r="58" spans="1:14" x14ac:dyDescent="0.3">
      <c r="A58" s="9">
        <v>56</v>
      </c>
      <c r="B58" s="5">
        <v>0</v>
      </c>
      <c r="C58" s="5">
        <v>2</v>
      </c>
      <c r="D58" s="6">
        <v>0</v>
      </c>
      <c r="E58" s="6">
        <v>0</v>
      </c>
      <c r="F58" s="10">
        <v>2</v>
      </c>
      <c r="G58" s="10">
        <v>0</v>
      </c>
      <c r="H58" s="9">
        <f>SUM(B58:G58)</f>
        <v>4</v>
      </c>
      <c r="I58" s="9">
        <f>B58*200+C58*100+D58*250+E58*100+F58*125+G58*75</f>
        <v>450</v>
      </c>
      <c r="J58" s="9" t="str">
        <f>IF(SUM(B58:G58)=0,"Sin ataques",TRIM(_xlfn.CONCAT(IF(B58+C58&gt;0,"PvP ("&amp;B58&amp;"-"&amp;C58&amp;") ",""),IF(D58+E58&gt;0,"Duelo ("&amp;D58&amp;"-"&amp;E58&amp;") ",""),IF(F58+G58&gt;0,"Barcos ("&amp;F58&amp;"-"&amp;G58&amp;")",""))))</f>
        <v>PvP (0-2) Barcos (2-0)</v>
      </c>
      <c r="K58" s="9" t="s">
        <v>11</v>
      </c>
      <c r="L58" s="9">
        <v>1</v>
      </c>
      <c r="M58" s="9" t="str">
        <f>"M_"&amp;TEXT(I58,"000")&amp;"_A_"&amp;H58&amp;"_B_"&amp;SUM(F58:G58)</f>
        <v>M_450_A_4_B_2</v>
      </c>
      <c r="N58" s="9" t="str">
        <f>"PvP"&amp;B58&amp;"-"&amp;C58&amp;"_Duelo"&amp;D58&amp;"-"&amp;E58&amp;"_Barcos"&amp;F58&amp;"-"&amp;G58</f>
        <v>PvP0-2_Duelo0-0_Barcos2-0</v>
      </c>
    </row>
    <row r="59" spans="1:14" x14ac:dyDescent="0.3">
      <c r="A59" s="9">
        <v>57</v>
      </c>
      <c r="B59" s="5">
        <v>1</v>
      </c>
      <c r="C59" s="5">
        <v>0</v>
      </c>
      <c r="D59" s="6">
        <v>0</v>
      </c>
      <c r="E59" s="6">
        <v>0</v>
      </c>
      <c r="F59" s="10">
        <v>2</v>
      </c>
      <c r="G59" s="10">
        <v>0</v>
      </c>
      <c r="H59" s="9">
        <f>SUM(B59:G59)</f>
        <v>3</v>
      </c>
      <c r="I59" s="9">
        <f>B59*200+C59*100+D59*250+E59*100+F59*125+G59*75</f>
        <v>450</v>
      </c>
      <c r="J59" s="9" t="str">
        <f>IF(SUM(B59:G59)=0,"Sin ataques",TRIM(_xlfn.CONCAT(IF(B59+C59&gt;0,"PvP ("&amp;B59&amp;"-"&amp;C59&amp;") ",""),IF(D59+E59&gt;0,"Duelo ("&amp;D59&amp;"-"&amp;E59&amp;") ",""),IF(F59+G59&gt;0,"Barcos ("&amp;F59&amp;"-"&amp;G59&amp;")",""))))</f>
        <v>PvP (1-0) Barcos (2-0)</v>
      </c>
      <c r="K59" s="9" t="s">
        <v>11</v>
      </c>
      <c r="L59" s="9">
        <v>1</v>
      </c>
      <c r="M59" s="9" t="str">
        <f>"M_"&amp;TEXT(I59,"000")&amp;"_A_"&amp;H59&amp;"_B_"&amp;SUM(F59:G59)</f>
        <v>M_450_A_3_B_2</v>
      </c>
      <c r="N59" s="9" t="str">
        <f>"PvP"&amp;B59&amp;"-"&amp;C59&amp;"_Duelo"&amp;D59&amp;"-"&amp;E59&amp;"_Barcos"&amp;F59&amp;"-"&amp;G59</f>
        <v>PvP1-0_Duelo0-0_Barcos2-0</v>
      </c>
    </row>
    <row r="60" spans="1:14" x14ac:dyDescent="0.3">
      <c r="A60" s="9">
        <v>58</v>
      </c>
      <c r="B60" s="5">
        <v>0</v>
      </c>
      <c r="C60" s="5">
        <v>0</v>
      </c>
      <c r="D60" s="6">
        <v>1</v>
      </c>
      <c r="E60" s="6">
        <v>2</v>
      </c>
      <c r="F60" s="10">
        <v>0</v>
      </c>
      <c r="G60" s="10">
        <v>0</v>
      </c>
      <c r="H60" s="9">
        <f>SUM(B60:G60)</f>
        <v>3</v>
      </c>
      <c r="I60" s="9">
        <f>B60*200+C60*100+D60*250+E60*100+F60*125+G60*75</f>
        <v>450</v>
      </c>
      <c r="J60" s="9" t="str">
        <f>IF(SUM(B60:G60)=0,"Sin ataques",TRIM(_xlfn.CONCAT(IF(B60+C60&gt;0,"PvP ("&amp;B60&amp;"-"&amp;C60&amp;") ",""),IF(D60+E60&gt;0,"Duelo ("&amp;D60&amp;"-"&amp;E60&amp;") ",""),IF(F60+G60&gt;0,"Barcos ("&amp;F60&amp;"-"&amp;G60&amp;")",""))))</f>
        <v>Duelo (1-2)</v>
      </c>
      <c r="K60" s="9" t="s">
        <v>11</v>
      </c>
      <c r="L60" s="9">
        <v>1</v>
      </c>
      <c r="M60" s="9" t="str">
        <f>"M_"&amp;TEXT(I60,"000")&amp;"_A_"&amp;H60&amp;"_B_"&amp;SUM(F60:G60)</f>
        <v>M_450_A_3_B_0</v>
      </c>
      <c r="N60" s="9" t="str">
        <f>"PvP"&amp;B60&amp;"-"&amp;C60&amp;"_Duelo"&amp;D60&amp;"-"&amp;E60&amp;"_Barcos"&amp;F60&amp;"-"&amp;G60</f>
        <v>PvP0-0_Duelo1-2_Barcos0-0</v>
      </c>
    </row>
    <row r="61" spans="1:14" x14ac:dyDescent="0.3">
      <c r="A61" s="9">
        <v>59</v>
      </c>
      <c r="B61" s="5">
        <v>1</v>
      </c>
      <c r="C61" s="5">
        <v>0</v>
      </c>
      <c r="D61" s="6">
        <v>0</v>
      </c>
      <c r="E61" s="6">
        <v>0</v>
      </c>
      <c r="F61" s="10">
        <v>0</v>
      </c>
      <c r="G61" s="10">
        <v>3</v>
      </c>
      <c r="H61" s="9">
        <f>SUM(B61:G61)</f>
        <v>4</v>
      </c>
      <c r="I61" s="9">
        <f>B61*200+C61*100+D61*250+E61*100+F61*125+G61*75</f>
        <v>425</v>
      </c>
      <c r="J61" s="9" t="str">
        <f>IF(SUM(B61:G61)=0,"Sin ataques",TRIM(_xlfn.CONCAT(IF(B61+C61&gt;0,"PvP ("&amp;B61&amp;"-"&amp;C61&amp;") ",""),IF(D61+E61&gt;0,"Duelo ("&amp;D61&amp;"-"&amp;E61&amp;") ",""),IF(F61+G61&gt;0,"Barcos ("&amp;F61&amp;"-"&amp;G61&amp;")",""))))</f>
        <v>PvP (1-0) Barcos (0-3)</v>
      </c>
      <c r="K61" s="9" t="s">
        <v>11</v>
      </c>
      <c r="L61" s="9">
        <v>1</v>
      </c>
      <c r="M61" s="9" t="str">
        <f>"M_"&amp;TEXT(I61,"000")&amp;"_A_"&amp;H61&amp;"_B_"&amp;SUM(F61:G61)</f>
        <v>M_425_A_4_B_3</v>
      </c>
      <c r="N61" s="9" t="str">
        <f>"PvP"&amp;B61&amp;"-"&amp;C61&amp;"_Duelo"&amp;D61&amp;"-"&amp;E61&amp;"_Barcos"&amp;F61&amp;"-"&amp;G61</f>
        <v>PvP1-0_Duelo0-0_Barcos0-3</v>
      </c>
    </row>
    <row r="62" spans="1:14" x14ac:dyDescent="0.3">
      <c r="A62" s="9">
        <v>60</v>
      </c>
      <c r="B62" s="5">
        <v>0</v>
      </c>
      <c r="C62" s="5">
        <v>1</v>
      </c>
      <c r="D62" s="6">
        <v>0</v>
      </c>
      <c r="E62" s="6">
        <v>0</v>
      </c>
      <c r="F62" s="10">
        <v>2</v>
      </c>
      <c r="G62" s="10">
        <v>1</v>
      </c>
      <c r="H62" s="9">
        <f>SUM(B62:G62)</f>
        <v>4</v>
      </c>
      <c r="I62" s="9">
        <f>B62*200+C62*100+D62*250+E62*100+F62*125+G62*75</f>
        <v>425</v>
      </c>
      <c r="J62" s="9" t="str">
        <f>IF(SUM(B62:G62)=0,"Sin ataques",TRIM(_xlfn.CONCAT(IF(B62+C62&gt;0,"PvP ("&amp;B62&amp;"-"&amp;C62&amp;") ",""),IF(D62+E62&gt;0,"Duelo ("&amp;D62&amp;"-"&amp;E62&amp;") ",""),IF(F62+G62&gt;0,"Barcos ("&amp;F62&amp;"-"&amp;G62&amp;")",""))))</f>
        <v>PvP (0-1) Barcos (2-1)</v>
      </c>
      <c r="K62" s="9" t="s">
        <v>11</v>
      </c>
      <c r="L62" s="9">
        <v>1</v>
      </c>
      <c r="M62" s="9" t="str">
        <f>"M_"&amp;TEXT(I62,"000")&amp;"_A_"&amp;H62&amp;"_B_"&amp;SUM(F62:G62)</f>
        <v>M_425_A_4_B_3</v>
      </c>
      <c r="N62" s="9" t="str">
        <f>"PvP"&amp;B62&amp;"-"&amp;C62&amp;"_Duelo"&amp;D62&amp;"-"&amp;E62&amp;"_Barcos"&amp;F62&amp;"-"&amp;G62</f>
        <v>PvP0-1_Duelo0-0_Barcos2-1</v>
      </c>
    </row>
    <row r="63" spans="1:14" x14ac:dyDescent="0.3">
      <c r="A63" s="9">
        <v>61</v>
      </c>
      <c r="B63" s="5">
        <v>0</v>
      </c>
      <c r="C63" s="5">
        <v>1</v>
      </c>
      <c r="D63" s="6">
        <v>0</v>
      </c>
      <c r="E63" s="6">
        <v>2</v>
      </c>
      <c r="F63" s="10">
        <v>1</v>
      </c>
      <c r="G63" s="10">
        <v>0</v>
      </c>
      <c r="H63" s="9">
        <f>SUM(B63:G63)</f>
        <v>4</v>
      </c>
      <c r="I63" s="9">
        <f>B63*200+C63*100+D63*250+E63*100+F63*125+G63*75</f>
        <v>425</v>
      </c>
      <c r="J63" s="9" t="str">
        <f>IF(SUM(B63:G63)=0,"Sin ataques",TRIM(_xlfn.CONCAT(IF(B63+C63&gt;0,"PvP ("&amp;B63&amp;"-"&amp;C63&amp;") ",""),IF(D63+E63&gt;0,"Duelo ("&amp;D63&amp;"-"&amp;E63&amp;") ",""),IF(F63+G63&gt;0,"Barcos ("&amp;F63&amp;"-"&amp;G63&amp;")",""))))</f>
        <v>PvP (0-1) Duelo (0-2) Barcos (1-0)</v>
      </c>
      <c r="K63" s="9" t="s">
        <v>11</v>
      </c>
      <c r="L63" s="9">
        <v>1</v>
      </c>
      <c r="M63" s="9" t="str">
        <f>"M_"&amp;TEXT(I63,"000")&amp;"_A_"&amp;H63&amp;"_B_"&amp;SUM(F63:G63)</f>
        <v>M_425_A_4_B_1</v>
      </c>
      <c r="N63" s="9" t="str">
        <f>"PvP"&amp;B63&amp;"-"&amp;C63&amp;"_Duelo"&amp;D63&amp;"-"&amp;E63&amp;"_Barcos"&amp;F63&amp;"-"&amp;G63</f>
        <v>PvP0-1_Duelo0-2_Barcos1-0</v>
      </c>
    </row>
    <row r="64" spans="1:14" x14ac:dyDescent="0.3">
      <c r="A64" s="9">
        <v>62</v>
      </c>
      <c r="B64" s="5">
        <v>0</v>
      </c>
      <c r="C64" s="5">
        <v>3</v>
      </c>
      <c r="D64" s="6">
        <v>0</v>
      </c>
      <c r="E64" s="6">
        <v>0</v>
      </c>
      <c r="F64" s="10">
        <v>1</v>
      </c>
      <c r="G64" s="10">
        <v>0</v>
      </c>
      <c r="H64" s="9">
        <f>SUM(B64:G64)</f>
        <v>4</v>
      </c>
      <c r="I64" s="9">
        <f>B64*200+C64*100+D64*250+E64*100+F64*125+G64*75</f>
        <v>425</v>
      </c>
      <c r="J64" s="9" t="str">
        <f>IF(SUM(B64:G64)=0,"Sin ataques",TRIM(_xlfn.CONCAT(IF(B64+C64&gt;0,"PvP ("&amp;B64&amp;"-"&amp;C64&amp;") ",""),IF(D64+E64&gt;0,"Duelo ("&amp;D64&amp;"-"&amp;E64&amp;") ",""),IF(F64+G64&gt;0,"Barcos ("&amp;F64&amp;"-"&amp;G64&amp;")",""))))</f>
        <v>PvP (0-3) Barcos (1-0)</v>
      </c>
      <c r="K64" s="9" t="s">
        <v>11</v>
      </c>
      <c r="L64" s="9">
        <v>1</v>
      </c>
      <c r="M64" s="9" t="str">
        <f>"M_"&amp;TEXT(I64,"000")&amp;"_A_"&amp;H64&amp;"_B_"&amp;SUM(F64:G64)</f>
        <v>M_425_A_4_B_1</v>
      </c>
      <c r="N64" s="9" t="str">
        <f>"PvP"&amp;B64&amp;"-"&amp;C64&amp;"_Duelo"&amp;D64&amp;"-"&amp;E64&amp;"_Barcos"&amp;F64&amp;"-"&amp;G64</f>
        <v>PvP0-3_Duelo0-0_Barcos1-0</v>
      </c>
    </row>
    <row r="65" spans="1:14" x14ac:dyDescent="0.3">
      <c r="A65" s="9">
        <v>63</v>
      </c>
      <c r="B65" s="5">
        <v>1</v>
      </c>
      <c r="C65" s="5">
        <v>1</v>
      </c>
      <c r="D65" s="6">
        <v>0</v>
      </c>
      <c r="E65" s="6">
        <v>0</v>
      </c>
      <c r="F65" s="10">
        <v>1</v>
      </c>
      <c r="G65" s="10">
        <v>0</v>
      </c>
      <c r="H65" s="9">
        <f>SUM(B65:G65)</f>
        <v>3</v>
      </c>
      <c r="I65" s="9">
        <f>B65*200+C65*100+D65*250+E65*100+F65*125+G65*75</f>
        <v>425</v>
      </c>
      <c r="J65" s="9" t="str">
        <f>IF(SUM(B65:G65)=0,"Sin ataques",TRIM(_xlfn.CONCAT(IF(B65+C65&gt;0,"PvP ("&amp;B65&amp;"-"&amp;C65&amp;") ",""),IF(D65+E65&gt;0,"Duelo ("&amp;D65&amp;"-"&amp;E65&amp;") ",""),IF(F65+G65&gt;0,"Barcos ("&amp;F65&amp;"-"&amp;G65&amp;")",""))))</f>
        <v>PvP (1-1) Barcos (1-0)</v>
      </c>
      <c r="K65" s="9" t="s">
        <v>11</v>
      </c>
      <c r="L65" s="9">
        <v>1</v>
      </c>
      <c r="M65" s="9" t="str">
        <f>"M_"&amp;TEXT(I65,"000")&amp;"_A_"&amp;H65&amp;"_B_"&amp;SUM(F65:G65)</f>
        <v>M_425_A_3_B_1</v>
      </c>
      <c r="N65" s="9" t="str">
        <f>"PvP"&amp;B65&amp;"-"&amp;C65&amp;"_Duelo"&amp;D65&amp;"-"&amp;E65&amp;"_Barcos"&amp;F65&amp;"-"&amp;G65</f>
        <v>PvP1-1_Duelo0-0_Barcos1-0</v>
      </c>
    </row>
    <row r="66" spans="1:14" x14ac:dyDescent="0.3">
      <c r="A66" s="9">
        <v>64</v>
      </c>
      <c r="B66" s="5">
        <v>0</v>
      </c>
      <c r="C66" s="5">
        <v>0</v>
      </c>
      <c r="D66" s="6">
        <v>0</v>
      </c>
      <c r="E66" s="6">
        <v>0</v>
      </c>
      <c r="F66" s="10">
        <v>2</v>
      </c>
      <c r="G66" s="10">
        <v>2</v>
      </c>
      <c r="H66" s="9">
        <f>SUM(B66:G66)</f>
        <v>4</v>
      </c>
      <c r="I66" s="9">
        <f>B66*200+C66*100+D66*250+E66*100+F66*125+G66*75</f>
        <v>400</v>
      </c>
      <c r="J66" s="9" t="str">
        <f>IF(SUM(B66:G66)=0,"Sin ataques",TRIM(_xlfn.CONCAT(IF(B66+C66&gt;0,"PvP ("&amp;B66&amp;"-"&amp;C66&amp;") ",""),IF(D66+E66&gt;0,"Duelo ("&amp;D66&amp;"-"&amp;E66&amp;") ",""),IF(F66+G66&gt;0,"Barcos ("&amp;F66&amp;"-"&amp;G66&amp;")",""))))</f>
        <v>Barcos (2-2)</v>
      </c>
      <c r="K66" s="9" t="s">
        <v>11</v>
      </c>
      <c r="L66" s="9">
        <v>1</v>
      </c>
      <c r="M66" s="9" t="str">
        <f>"M_"&amp;TEXT(I66,"000")&amp;"_A_"&amp;H66&amp;"_B_"&amp;SUM(F66:G66)</f>
        <v>M_400_A_4_B_4</v>
      </c>
      <c r="N66" s="9" t="str">
        <f>"PvP"&amp;B66&amp;"-"&amp;C66&amp;"_Duelo"&amp;D66&amp;"-"&amp;E66&amp;"_Barcos"&amp;F66&amp;"-"&amp;G66</f>
        <v>PvP0-0_Duelo0-0_Barcos2-2</v>
      </c>
    </row>
    <row r="67" spans="1:14" x14ac:dyDescent="0.3">
      <c r="A67" s="9">
        <v>65</v>
      </c>
      <c r="B67" s="5">
        <v>0</v>
      </c>
      <c r="C67" s="5">
        <v>0</v>
      </c>
      <c r="D67" s="6">
        <v>0</v>
      </c>
      <c r="E67" s="6">
        <v>2</v>
      </c>
      <c r="F67" s="10">
        <v>1</v>
      </c>
      <c r="G67" s="10">
        <v>1</v>
      </c>
      <c r="H67" s="9">
        <f>SUM(B67:G67)</f>
        <v>4</v>
      </c>
      <c r="I67" s="9">
        <f>B67*200+C67*100+D67*250+E67*100+F67*125+G67*75</f>
        <v>400</v>
      </c>
      <c r="J67" s="9" t="str">
        <f>IF(SUM(B67:G67)=0,"Sin ataques",TRIM(_xlfn.CONCAT(IF(B67+C67&gt;0,"PvP ("&amp;B67&amp;"-"&amp;C67&amp;") ",""),IF(D67+E67&gt;0,"Duelo ("&amp;D67&amp;"-"&amp;E67&amp;") ",""),IF(F67+G67&gt;0,"Barcos ("&amp;F67&amp;"-"&amp;G67&amp;")",""))))</f>
        <v>Duelo (0-2) Barcos (1-1)</v>
      </c>
      <c r="K67" s="9" t="s">
        <v>11</v>
      </c>
      <c r="L67" s="9">
        <v>1</v>
      </c>
      <c r="M67" s="9" t="str">
        <f>"M_"&amp;TEXT(I67,"000")&amp;"_A_"&amp;H67&amp;"_B_"&amp;SUM(F67:G67)</f>
        <v>M_400_A_4_B_2</v>
      </c>
      <c r="N67" s="9" t="str">
        <f>"PvP"&amp;B67&amp;"-"&amp;C67&amp;"_Duelo"&amp;D67&amp;"-"&amp;E67&amp;"_Barcos"&amp;F67&amp;"-"&amp;G67</f>
        <v>PvP0-0_Duelo0-2_Barcos1-1</v>
      </c>
    </row>
    <row r="68" spans="1:14" x14ac:dyDescent="0.3">
      <c r="A68" s="9">
        <v>66</v>
      </c>
      <c r="B68" s="5">
        <v>0</v>
      </c>
      <c r="C68" s="5">
        <v>2</v>
      </c>
      <c r="D68" s="6">
        <v>0</v>
      </c>
      <c r="E68" s="6">
        <v>0</v>
      </c>
      <c r="F68" s="10">
        <v>1</v>
      </c>
      <c r="G68" s="10">
        <v>1</v>
      </c>
      <c r="H68" s="9">
        <f>SUM(B68:G68)</f>
        <v>4</v>
      </c>
      <c r="I68" s="9">
        <f>B68*200+C68*100+D68*250+E68*100+F68*125+G68*75</f>
        <v>400</v>
      </c>
      <c r="J68" s="9" t="str">
        <f>IF(SUM(B68:G68)=0,"Sin ataques",TRIM(_xlfn.CONCAT(IF(B68+C68&gt;0,"PvP ("&amp;B68&amp;"-"&amp;C68&amp;") ",""),IF(D68+E68&gt;0,"Duelo ("&amp;D68&amp;"-"&amp;E68&amp;") ",""),IF(F68+G68&gt;0,"Barcos ("&amp;F68&amp;"-"&amp;G68&amp;")",""))))</f>
        <v>PvP (0-2) Barcos (1-1)</v>
      </c>
      <c r="K68" s="9" t="s">
        <v>11</v>
      </c>
      <c r="L68" s="9">
        <v>1</v>
      </c>
      <c r="M68" s="9" t="str">
        <f>"M_"&amp;TEXT(I68,"000")&amp;"_A_"&amp;H68&amp;"_B_"&amp;SUM(F68:G68)</f>
        <v>M_400_A_4_B_2</v>
      </c>
      <c r="N68" s="9" t="str">
        <f>"PvP"&amp;B68&amp;"-"&amp;C68&amp;"_Duelo"&amp;D68&amp;"-"&amp;E68&amp;"_Barcos"&amp;F68&amp;"-"&amp;G68</f>
        <v>PvP0-2_Duelo0-0_Barcos1-1</v>
      </c>
    </row>
    <row r="69" spans="1:14" x14ac:dyDescent="0.3">
      <c r="A69" s="9">
        <v>67</v>
      </c>
      <c r="B69" s="5">
        <v>0</v>
      </c>
      <c r="C69" s="5">
        <v>2</v>
      </c>
      <c r="D69" s="6">
        <v>0</v>
      </c>
      <c r="E69" s="6">
        <v>2</v>
      </c>
      <c r="F69" s="10">
        <v>0</v>
      </c>
      <c r="G69" s="10">
        <v>0</v>
      </c>
      <c r="H69" s="9">
        <f>SUM(B69:G69)</f>
        <v>4</v>
      </c>
      <c r="I69" s="9">
        <f>B69*200+C69*100+D69*250+E69*100+F69*125+G69*75</f>
        <v>400</v>
      </c>
      <c r="J69" s="9" t="str">
        <f>IF(SUM(B69:G69)=0,"Sin ataques",TRIM(_xlfn.CONCAT(IF(B69+C69&gt;0,"PvP ("&amp;B69&amp;"-"&amp;C69&amp;") ",""),IF(D69+E69&gt;0,"Duelo ("&amp;D69&amp;"-"&amp;E69&amp;") ",""),IF(F69+G69&gt;0,"Barcos ("&amp;F69&amp;"-"&amp;G69&amp;")",""))))</f>
        <v>PvP (0-2) Duelo (0-2)</v>
      </c>
      <c r="K69" s="9" t="s">
        <v>11</v>
      </c>
      <c r="L69" s="9">
        <v>1</v>
      </c>
      <c r="M69" s="9" t="str">
        <f>"M_"&amp;TEXT(I69,"000")&amp;"_A_"&amp;H69&amp;"_B_"&amp;SUM(F69:G69)</f>
        <v>M_400_A_4_B_0</v>
      </c>
      <c r="N69" s="9" t="str">
        <f>"PvP"&amp;B69&amp;"-"&amp;C69&amp;"_Duelo"&amp;D69&amp;"-"&amp;E69&amp;"_Barcos"&amp;F69&amp;"-"&amp;G69</f>
        <v>PvP0-2_Duelo0-2_Barcos0-0</v>
      </c>
    </row>
    <row r="70" spans="1:14" x14ac:dyDescent="0.3">
      <c r="A70" s="9">
        <v>68</v>
      </c>
      <c r="B70" s="5">
        <v>0</v>
      </c>
      <c r="C70" s="5">
        <v>4</v>
      </c>
      <c r="D70" s="6">
        <v>0</v>
      </c>
      <c r="E70" s="6">
        <v>0</v>
      </c>
      <c r="F70" s="10">
        <v>0</v>
      </c>
      <c r="G70" s="10">
        <v>0</v>
      </c>
      <c r="H70" s="9">
        <f>SUM(B70:G70)</f>
        <v>4</v>
      </c>
      <c r="I70" s="9">
        <f>B70*200+C70*100+D70*250+E70*100+F70*125+G70*75</f>
        <v>400</v>
      </c>
      <c r="J70" s="9" t="str">
        <f>IF(SUM(B70:G70)=0,"Sin ataques",TRIM(_xlfn.CONCAT(IF(B70+C70&gt;0,"PvP ("&amp;B70&amp;"-"&amp;C70&amp;") ",""),IF(D70+E70&gt;0,"Duelo ("&amp;D70&amp;"-"&amp;E70&amp;") ",""),IF(F70+G70&gt;0,"Barcos ("&amp;F70&amp;"-"&amp;G70&amp;")",""))))</f>
        <v>PvP (0-4)</v>
      </c>
      <c r="K70" s="9" t="s">
        <v>11</v>
      </c>
      <c r="L70" s="9">
        <v>1</v>
      </c>
      <c r="M70" s="9" t="str">
        <f>"M_"&amp;TEXT(I70,"000")&amp;"_A_"&amp;H70&amp;"_B_"&amp;SUM(F70:G70)</f>
        <v>M_400_A_4_B_0</v>
      </c>
      <c r="N70" s="9" t="str">
        <f>"PvP"&amp;B70&amp;"-"&amp;C70&amp;"_Duelo"&amp;D70&amp;"-"&amp;E70&amp;"_Barcos"&amp;F70&amp;"-"&amp;G70</f>
        <v>PvP0-4_Duelo0-0_Barcos0-0</v>
      </c>
    </row>
    <row r="71" spans="1:14" x14ac:dyDescent="0.3">
      <c r="A71" s="9">
        <v>69</v>
      </c>
      <c r="B71" s="5">
        <v>1</v>
      </c>
      <c r="C71" s="5">
        <v>0</v>
      </c>
      <c r="D71" s="6">
        <v>0</v>
      </c>
      <c r="E71" s="6">
        <v>0</v>
      </c>
      <c r="F71" s="10">
        <v>1</v>
      </c>
      <c r="G71" s="10">
        <v>1</v>
      </c>
      <c r="H71" s="9">
        <f>SUM(B71:G71)</f>
        <v>3</v>
      </c>
      <c r="I71" s="9">
        <f>B71*200+C71*100+D71*250+E71*100+F71*125+G71*75</f>
        <v>400</v>
      </c>
      <c r="J71" s="9" t="str">
        <f>IF(SUM(B71:G71)=0,"Sin ataques",TRIM(_xlfn.CONCAT(IF(B71+C71&gt;0,"PvP ("&amp;B71&amp;"-"&amp;C71&amp;") ",""),IF(D71+E71&gt;0,"Duelo ("&amp;D71&amp;"-"&amp;E71&amp;") ",""),IF(F71+G71&gt;0,"Barcos ("&amp;F71&amp;"-"&amp;G71&amp;")",""))))</f>
        <v>PvP (1-0) Barcos (1-1)</v>
      </c>
      <c r="K71" s="9" t="s">
        <v>11</v>
      </c>
      <c r="L71" s="9">
        <v>1</v>
      </c>
      <c r="M71" s="9" t="str">
        <f>"M_"&amp;TEXT(I71,"000")&amp;"_A_"&amp;H71&amp;"_B_"&amp;SUM(F71:G71)</f>
        <v>M_400_A_3_B_2</v>
      </c>
      <c r="N71" s="9" t="str">
        <f>"PvP"&amp;B71&amp;"-"&amp;C71&amp;"_Duelo"&amp;D71&amp;"-"&amp;E71&amp;"_Barcos"&amp;F71&amp;"-"&amp;G71</f>
        <v>PvP1-0_Duelo0-0_Barcos1-1</v>
      </c>
    </row>
    <row r="72" spans="1:14" x14ac:dyDescent="0.3">
      <c r="A72" s="9">
        <v>70</v>
      </c>
      <c r="B72" s="5">
        <v>1</v>
      </c>
      <c r="C72" s="5">
        <v>0</v>
      </c>
      <c r="D72" s="6">
        <v>0</v>
      </c>
      <c r="E72" s="6">
        <v>2</v>
      </c>
      <c r="F72" s="10">
        <v>0</v>
      </c>
      <c r="G72" s="10">
        <v>0</v>
      </c>
      <c r="H72" s="9">
        <f>SUM(B72:G72)</f>
        <v>3</v>
      </c>
      <c r="I72" s="9">
        <f>B72*200+C72*100+D72*250+E72*100+F72*125+G72*75</f>
        <v>400</v>
      </c>
      <c r="J72" s="9" t="str">
        <f>IF(SUM(B72:G72)=0,"Sin ataques",TRIM(_xlfn.CONCAT(IF(B72+C72&gt;0,"PvP ("&amp;B72&amp;"-"&amp;C72&amp;") ",""),IF(D72+E72&gt;0,"Duelo ("&amp;D72&amp;"-"&amp;E72&amp;") ",""),IF(F72+G72&gt;0,"Barcos ("&amp;F72&amp;"-"&amp;G72&amp;")",""))))</f>
        <v>PvP (1-0) Duelo (0-2)</v>
      </c>
      <c r="K72" s="9" t="s">
        <v>11</v>
      </c>
      <c r="L72" s="9">
        <v>1</v>
      </c>
      <c r="M72" s="9" t="str">
        <f>"M_"&amp;TEXT(I72,"000")&amp;"_A_"&amp;H72&amp;"_B_"&amp;SUM(F72:G72)</f>
        <v>M_400_A_3_B_0</v>
      </c>
      <c r="N72" s="9" t="str">
        <f>"PvP"&amp;B72&amp;"-"&amp;C72&amp;"_Duelo"&amp;D72&amp;"-"&amp;E72&amp;"_Barcos"&amp;F72&amp;"-"&amp;G72</f>
        <v>PvP1-0_Duelo0-2_Barcos0-0</v>
      </c>
    </row>
    <row r="73" spans="1:14" x14ac:dyDescent="0.3">
      <c r="A73" s="9">
        <v>71</v>
      </c>
      <c r="B73" s="5">
        <v>1</v>
      </c>
      <c r="C73" s="5">
        <v>2</v>
      </c>
      <c r="D73" s="6">
        <v>0</v>
      </c>
      <c r="E73" s="6">
        <v>0</v>
      </c>
      <c r="F73" s="10">
        <v>0</v>
      </c>
      <c r="G73" s="10">
        <v>0</v>
      </c>
      <c r="H73" s="9">
        <f>SUM(B73:G73)</f>
        <v>3</v>
      </c>
      <c r="I73" s="9">
        <f>B73*200+C73*100+D73*250+E73*100+F73*125+G73*75</f>
        <v>400</v>
      </c>
      <c r="J73" s="9" t="str">
        <f>IF(SUM(B73:G73)=0,"Sin ataques",TRIM(_xlfn.CONCAT(IF(B73+C73&gt;0,"PvP ("&amp;B73&amp;"-"&amp;C73&amp;") ",""),IF(D73+E73&gt;0,"Duelo ("&amp;D73&amp;"-"&amp;E73&amp;") ",""),IF(F73+G73&gt;0,"Barcos ("&amp;F73&amp;"-"&amp;G73&amp;")",""))))</f>
        <v>PvP (1-2)</v>
      </c>
      <c r="K73" s="9" t="s">
        <v>11</v>
      </c>
      <c r="L73" s="9">
        <v>1</v>
      </c>
      <c r="M73" s="9" t="str">
        <f>"M_"&amp;TEXT(I73,"000")&amp;"_A_"&amp;H73&amp;"_B_"&amp;SUM(F73:G73)</f>
        <v>M_400_A_3_B_0</v>
      </c>
      <c r="N73" s="9" t="str">
        <f>"PvP"&amp;B73&amp;"-"&amp;C73&amp;"_Duelo"&amp;D73&amp;"-"&amp;E73&amp;"_Barcos"&amp;F73&amp;"-"&amp;G73</f>
        <v>PvP1-2_Duelo0-0_Barcos0-0</v>
      </c>
    </row>
    <row r="74" spans="1:14" x14ac:dyDescent="0.3">
      <c r="A74" s="9">
        <v>72</v>
      </c>
      <c r="B74" s="5">
        <v>2</v>
      </c>
      <c r="C74" s="5">
        <v>0</v>
      </c>
      <c r="D74" s="6">
        <v>0</v>
      </c>
      <c r="E74" s="6">
        <v>0</v>
      </c>
      <c r="F74" s="10">
        <v>0</v>
      </c>
      <c r="G74" s="10">
        <v>0</v>
      </c>
      <c r="H74" s="9">
        <f>SUM(B74:G74)</f>
        <v>2</v>
      </c>
      <c r="I74" s="9">
        <f>B74*200+C74*100+D74*250+E74*100+F74*125+G74*75</f>
        <v>400</v>
      </c>
      <c r="J74" s="9" t="str">
        <f>IF(SUM(B74:G74)=0,"Sin ataques",TRIM(_xlfn.CONCAT(IF(B74+C74&gt;0,"PvP ("&amp;B74&amp;"-"&amp;C74&amp;") ",""),IF(D74+E74&gt;0,"Duelo ("&amp;D74&amp;"-"&amp;E74&amp;") ",""),IF(F74+G74&gt;0,"Barcos ("&amp;F74&amp;"-"&amp;G74&amp;")",""))))</f>
        <v>PvP (2-0)</v>
      </c>
      <c r="K74" s="9" t="s">
        <v>11</v>
      </c>
      <c r="L74" s="9">
        <v>1</v>
      </c>
      <c r="M74" s="9" t="str">
        <f>"M_"&amp;TEXT(I74,"000")&amp;"_A_"&amp;H74&amp;"_B_"&amp;SUM(F74:G74)</f>
        <v>M_400_A_2_B_0</v>
      </c>
      <c r="N74" s="9" t="str">
        <f>"PvP"&amp;B74&amp;"-"&amp;C74&amp;"_Duelo"&amp;D74&amp;"-"&amp;E74&amp;"_Barcos"&amp;F74&amp;"-"&amp;G74</f>
        <v>PvP2-0_Duelo0-0_Barcos0-0</v>
      </c>
    </row>
    <row r="75" spans="1:14" x14ac:dyDescent="0.3">
      <c r="A75" s="9">
        <v>73</v>
      </c>
      <c r="B75" s="5">
        <v>0</v>
      </c>
      <c r="C75" s="5">
        <v>1</v>
      </c>
      <c r="D75" s="6">
        <v>0</v>
      </c>
      <c r="E75" s="6">
        <v>0</v>
      </c>
      <c r="F75" s="10">
        <v>1</v>
      </c>
      <c r="G75" s="10">
        <v>2</v>
      </c>
      <c r="H75" s="9">
        <f>SUM(B75:G75)</f>
        <v>4</v>
      </c>
      <c r="I75" s="9">
        <f>B75*200+C75*100+D75*250+E75*100+F75*125+G75*75</f>
        <v>375</v>
      </c>
      <c r="J75" s="9" t="str">
        <f>IF(SUM(B75:G75)=0,"Sin ataques",TRIM(_xlfn.CONCAT(IF(B75+C75&gt;0,"PvP ("&amp;B75&amp;"-"&amp;C75&amp;") ",""),IF(D75+E75&gt;0,"Duelo ("&amp;D75&amp;"-"&amp;E75&amp;") ",""),IF(F75+G75&gt;0,"Barcos ("&amp;F75&amp;"-"&amp;G75&amp;")",""))))</f>
        <v>PvP (0-1) Barcos (1-2)</v>
      </c>
      <c r="K75" s="9" t="s">
        <v>11</v>
      </c>
      <c r="L75" s="9">
        <v>1</v>
      </c>
      <c r="M75" s="9" t="str">
        <f>"M_"&amp;TEXT(I75,"000")&amp;"_A_"&amp;H75&amp;"_B_"&amp;SUM(F75:G75)</f>
        <v>M_375_A_4_B_3</v>
      </c>
      <c r="N75" s="9" t="str">
        <f>"PvP"&amp;B75&amp;"-"&amp;C75&amp;"_Duelo"&amp;D75&amp;"-"&amp;E75&amp;"_Barcos"&amp;F75&amp;"-"&amp;G75</f>
        <v>PvP0-1_Duelo0-0_Barcos1-2</v>
      </c>
    </row>
    <row r="76" spans="1:14" x14ac:dyDescent="0.3">
      <c r="A76" s="9">
        <v>74</v>
      </c>
      <c r="B76" s="5">
        <v>0</v>
      </c>
      <c r="C76" s="5">
        <v>1</v>
      </c>
      <c r="D76" s="6">
        <v>0</v>
      </c>
      <c r="E76" s="6">
        <v>2</v>
      </c>
      <c r="F76" s="10">
        <v>0</v>
      </c>
      <c r="G76" s="10">
        <v>1</v>
      </c>
      <c r="H76" s="9">
        <f>SUM(B76:G76)</f>
        <v>4</v>
      </c>
      <c r="I76" s="9">
        <f>B76*200+C76*100+D76*250+E76*100+F76*125+G76*75</f>
        <v>375</v>
      </c>
      <c r="J76" s="9" t="str">
        <f>IF(SUM(B76:G76)=0,"Sin ataques",TRIM(_xlfn.CONCAT(IF(B76+C76&gt;0,"PvP ("&amp;B76&amp;"-"&amp;C76&amp;") ",""),IF(D76+E76&gt;0,"Duelo ("&amp;D76&amp;"-"&amp;E76&amp;") ",""),IF(F76+G76&gt;0,"Barcos ("&amp;F76&amp;"-"&amp;G76&amp;")",""))))</f>
        <v>PvP (0-1) Duelo (0-2) Barcos (0-1)</v>
      </c>
      <c r="K76" s="9" t="s">
        <v>11</v>
      </c>
      <c r="L76" s="9">
        <v>1</v>
      </c>
      <c r="M76" s="9" t="str">
        <f>"M_"&amp;TEXT(I76,"000")&amp;"_A_"&amp;H76&amp;"_B_"&amp;SUM(F76:G76)</f>
        <v>M_375_A_4_B_1</v>
      </c>
      <c r="N76" s="9" t="str">
        <f>"PvP"&amp;B76&amp;"-"&amp;C76&amp;"_Duelo"&amp;D76&amp;"-"&amp;E76&amp;"_Barcos"&amp;F76&amp;"-"&amp;G76</f>
        <v>PvP0-1_Duelo0-2_Barcos0-1</v>
      </c>
    </row>
    <row r="77" spans="1:14" x14ac:dyDescent="0.3">
      <c r="A77" s="9">
        <v>75</v>
      </c>
      <c r="B77" s="5">
        <v>0</v>
      </c>
      <c r="C77" s="5">
        <v>3</v>
      </c>
      <c r="D77" s="6">
        <v>0</v>
      </c>
      <c r="E77" s="6">
        <v>0</v>
      </c>
      <c r="F77" s="10">
        <v>0</v>
      </c>
      <c r="G77" s="10">
        <v>1</v>
      </c>
      <c r="H77" s="9">
        <f>SUM(B77:G77)</f>
        <v>4</v>
      </c>
      <c r="I77" s="9">
        <f>B77*200+C77*100+D77*250+E77*100+F77*125+G77*75</f>
        <v>375</v>
      </c>
      <c r="J77" s="9" t="str">
        <f>IF(SUM(B77:G77)=0,"Sin ataques",TRIM(_xlfn.CONCAT(IF(B77+C77&gt;0,"PvP ("&amp;B77&amp;"-"&amp;C77&amp;") ",""),IF(D77+E77&gt;0,"Duelo ("&amp;D77&amp;"-"&amp;E77&amp;") ",""),IF(F77+G77&gt;0,"Barcos ("&amp;F77&amp;"-"&amp;G77&amp;")",""))))</f>
        <v>PvP (0-3) Barcos (0-1)</v>
      </c>
      <c r="K77" s="9" t="s">
        <v>11</v>
      </c>
      <c r="L77" s="9">
        <v>1</v>
      </c>
      <c r="M77" s="9" t="str">
        <f>"M_"&amp;TEXT(I77,"000")&amp;"_A_"&amp;H77&amp;"_B_"&amp;SUM(F77:G77)</f>
        <v>M_375_A_4_B_1</v>
      </c>
      <c r="N77" s="9" t="str">
        <f>"PvP"&amp;B77&amp;"-"&amp;C77&amp;"_Duelo"&amp;D77&amp;"-"&amp;E77&amp;"_Barcos"&amp;F77&amp;"-"&amp;G77</f>
        <v>PvP0-3_Duelo0-0_Barcos0-1</v>
      </c>
    </row>
    <row r="78" spans="1:14" x14ac:dyDescent="0.3">
      <c r="A78" s="9">
        <v>76</v>
      </c>
      <c r="B78" s="5">
        <v>0</v>
      </c>
      <c r="C78" s="5">
        <v>0</v>
      </c>
      <c r="D78" s="6">
        <v>0</v>
      </c>
      <c r="E78" s="6">
        <v>0</v>
      </c>
      <c r="F78" s="10">
        <v>3</v>
      </c>
      <c r="G78" s="10">
        <v>0</v>
      </c>
      <c r="H78" s="9">
        <f>SUM(B78:G78)</f>
        <v>3</v>
      </c>
      <c r="I78" s="9">
        <f>B78*200+C78*100+D78*250+E78*100+F78*125+G78*75</f>
        <v>375</v>
      </c>
      <c r="J78" s="9" t="str">
        <f>IF(SUM(B78:G78)=0,"Sin ataques",TRIM(_xlfn.CONCAT(IF(B78+C78&gt;0,"PvP ("&amp;B78&amp;"-"&amp;C78&amp;") ",""),IF(D78+E78&gt;0,"Duelo ("&amp;D78&amp;"-"&amp;E78&amp;") ",""),IF(F78+G78&gt;0,"Barcos ("&amp;F78&amp;"-"&amp;G78&amp;")",""))))</f>
        <v>Barcos (3-0)</v>
      </c>
      <c r="K78" s="9" t="s">
        <v>11</v>
      </c>
      <c r="L78" s="9">
        <v>1</v>
      </c>
      <c r="M78" s="9" t="str">
        <f>"M_"&amp;TEXT(I78,"000")&amp;"_A_"&amp;H78&amp;"_B_"&amp;SUM(F78:G78)</f>
        <v>M_375_A_3_B_3</v>
      </c>
      <c r="N78" s="9" t="str">
        <f>"PvP"&amp;B78&amp;"-"&amp;C78&amp;"_Duelo"&amp;D78&amp;"-"&amp;E78&amp;"_Barcos"&amp;F78&amp;"-"&amp;G78</f>
        <v>PvP0-0_Duelo0-0_Barcos3-0</v>
      </c>
    </row>
    <row r="79" spans="1:14" x14ac:dyDescent="0.3">
      <c r="A79" s="9">
        <v>77</v>
      </c>
      <c r="B79" s="5">
        <v>1</v>
      </c>
      <c r="C79" s="5">
        <v>1</v>
      </c>
      <c r="D79" s="6">
        <v>0</v>
      </c>
      <c r="E79" s="6">
        <v>0</v>
      </c>
      <c r="F79" s="10">
        <v>0</v>
      </c>
      <c r="G79" s="10">
        <v>1</v>
      </c>
      <c r="H79" s="9">
        <f>SUM(B79:G79)</f>
        <v>3</v>
      </c>
      <c r="I79" s="9">
        <f>B79*200+C79*100+D79*250+E79*100+F79*125+G79*75</f>
        <v>375</v>
      </c>
      <c r="J79" s="9" t="str">
        <f>IF(SUM(B79:G79)=0,"Sin ataques",TRIM(_xlfn.CONCAT(IF(B79+C79&gt;0,"PvP ("&amp;B79&amp;"-"&amp;C79&amp;") ",""),IF(D79+E79&gt;0,"Duelo ("&amp;D79&amp;"-"&amp;E79&amp;") ",""),IF(F79+G79&gt;0,"Barcos ("&amp;F79&amp;"-"&amp;G79&amp;")",""))))</f>
        <v>PvP (1-1) Barcos (0-1)</v>
      </c>
      <c r="K79" s="9" t="s">
        <v>11</v>
      </c>
      <c r="L79" s="9">
        <v>1</v>
      </c>
      <c r="M79" s="9" t="str">
        <f>"M_"&amp;TEXT(I79,"000")&amp;"_A_"&amp;H79&amp;"_B_"&amp;SUM(F79:G79)</f>
        <v>M_375_A_3_B_1</v>
      </c>
      <c r="N79" s="9" t="str">
        <f>"PvP"&amp;B79&amp;"-"&amp;C79&amp;"_Duelo"&amp;D79&amp;"-"&amp;E79&amp;"_Barcos"&amp;F79&amp;"-"&amp;G79</f>
        <v>PvP1-1_Duelo0-0_Barcos0-1</v>
      </c>
    </row>
    <row r="80" spans="1:14" x14ac:dyDescent="0.3">
      <c r="A80" s="9">
        <v>78</v>
      </c>
      <c r="B80" s="5">
        <v>0</v>
      </c>
      <c r="C80" s="5">
        <v>0</v>
      </c>
      <c r="D80" s="6">
        <v>0</v>
      </c>
      <c r="E80" s="6">
        <v>0</v>
      </c>
      <c r="F80" s="10">
        <v>1</v>
      </c>
      <c r="G80" s="10">
        <v>3</v>
      </c>
      <c r="H80" s="9">
        <f>SUM(B80:G80)</f>
        <v>4</v>
      </c>
      <c r="I80" s="9">
        <f>B80*200+C80*100+D80*250+E80*100+F80*125+G80*75</f>
        <v>350</v>
      </c>
      <c r="J80" s="9" t="str">
        <f>IF(SUM(B80:G80)=0,"Sin ataques",TRIM(_xlfn.CONCAT(IF(B80+C80&gt;0,"PvP ("&amp;B80&amp;"-"&amp;C80&amp;") ",""),IF(D80+E80&gt;0,"Duelo ("&amp;D80&amp;"-"&amp;E80&amp;") ",""),IF(F80+G80&gt;0,"Barcos ("&amp;F80&amp;"-"&amp;G80&amp;")",""))))</f>
        <v>Barcos (1-3)</v>
      </c>
      <c r="K80" s="9" t="s">
        <v>11</v>
      </c>
      <c r="L80" s="9">
        <v>1</v>
      </c>
      <c r="M80" s="9" t="str">
        <f>"M_"&amp;TEXT(I80,"000")&amp;"_A_"&amp;H80&amp;"_B_"&amp;SUM(F80:G80)</f>
        <v>M_350_A_4_B_4</v>
      </c>
      <c r="N80" s="9" t="str">
        <f>"PvP"&amp;B80&amp;"-"&amp;C80&amp;"_Duelo"&amp;D80&amp;"-"&amp;E80&amp;"_Barcos"&amp;F80&amp;"-"&amp;G80</f>
        <v>PvP0-0_Duelo0-0_Barcos1-3</v>
      </c>
    </row>
    <row r="81" spans="1:14" x14ac:dyDescent="0.3">
      <c r="A81" s="9">
        <v>79</v>
      </c>
      <c r="B81" s="5">
        <v>0</v>
      </c>
      <c r="C81" s="5">
        <v>0</v>
      </c>
      <c r="D81" s="6">
        <v>0</v>
      </c>
      <c r="E81" s="6">
        <v>2</v>
      </c>
      <c r="F81" s="10">
        <v>0</v>
      </c>
      <c r="G81" s="10">
        <v>2</v>
      </c>
      <c r="H81" s="9">
        <f>SUM(B81:G81)</f>
        <v>4</v>
      </c>
      <c r="I81" s="9">
        <f>B81*200+C81*100+D81*250+E81*100+F81*125+G81*75</f>
        <v>350</v>
      </c>
      <c r="J81" s="9" t="str">
        <f>IF(SUM(B81:G81)=0,"Sin ataques",TRIM(_xlfn.CONCAT(IF(B81+C81&gt;0,"PvP ("&amp;B81&amp;"-"&amp;C81&amp;") ",""),IF(D81+E81&gt;0,"Duelo ("&amp;D81&amp;"-"&amp;E81&amp;") ",""),IF(F81+G81&gt;0,"Barcos ("&amp;F81&amp;"-"&amp;G81&amp;")",""))))</f>
        <v>Duelo (0-2) Barcos (0-2)</v>
      </c>
      <c r="K81" s="9" t="s">
        <v>11</v>
      </c>
      <c r="L81" s="9">
        <v>1</v>
      </c>
      <c r="M81" s="9" t="str">
        <f>"M_"&amp;TEXT(I81,"000")&amp;"_A_"&amp;H81&amp;"_B_"&amp;SUM(F81:G81)</f>
        <v>M_350_A_4_B_2</v>
      </c>
      <c r="N81" s="9" t="str">
        <f>"PvP"&amp;B81&amp;"-"&amp;C81&amp;"_Duelo"&amp;D81&amp;"-"&amp;E81&amp;"_Barcos"&amp;F81&amp;"-"&amp;G81</f>
        <v>PvP0-0_Duelo0-2_Barcos0-2</v>
      </c>
    </row>
    <row r="82" spans="1:14" x14ac:dyDescent="0.3">
      <c r="A82" s="9">
        <v>80</v>
      </c>
      <c r="B82" s="5">
        <v>0</v>
      </c>
      <c r="C82" s="5">
        <v>2</v>
      </c>
      <c r="D82" s="6">
        <v>0</v>
      </c>
      <c r="E82" s="6">
        <v>0</v>
      </c>
      <c r="F82" s="10">
        <v>0</v>
      </c>
      <c r="G82" s="10">
        <v>2</v>
      </c>
      <c r="H82" s="9">
        <f>SUM(B82:G82)</f>
        <v>4</v>
      </c>
      <c r="I82" s="9">
        <f>B82*200+C82*100+D82*250+E82*100+F82*125+G82*75</f>
        <v>350</v>
      </c>
      <c r="J82" s="9" t="str">
        <f>IF(SUM(B82:G82)=0,"Sin ataques",TRIM(_xlfn.CONCAT(IF(B82+C82&gt;0,"PvP ("&amp;B82&amp;"-"&amp;C82&amp;") ",""),IF(D82+E82&gt;0,"Duelo ("&amp;D82&amp;"-"&amp;E82&amp;") ",""),IF(F82+G82&gt;0,"Barcos ("&amp;F82&amp;"-"&amp;G82&amp;")",""))))</f>
        <v>PvP (0-2) Barcos (0-2)</v>
      </c>
      <c r="K82" s="9" t="s">
        <v>11</v>
      </c>
      <c r="L82" s="9">
        <v>1</v>
      </c>
      <c r="M82" s="9" t="str">
        <f>"M_"&amp;TEXT(I82,"000")&amp;"_A_"&amp;H82&amp;"_B_"&amp;SUM(F82:G82)</f>
        <v>M_350_A_4_B_2</v>
      </c>
      <c r="N82" s="9" t="str">
        <f>"PvP"&amp;B82&amp;"-"&amp;C82&amp;"_Duelo"&amp;D82&amp;"-"&amp;E82&amp;"_Barcos"&amp;F82&amp;"-"&amp;G82</f>
        <v>PvP0-2_Duelo0-0_Barcos0-2</v>
      </c>
    </row>
    <row r="83" spans="1:14" x14ac:dyDescent="0.3">
      <c r="A83" s="9">
        <v>81</v>
      </c>
      <c r="B83" s="5">
        <v>1</v>
      </c>
      <c r="C83" s="5">
        <v>0</v>
      </c>
      <c r="D83" s="6">
        <v>0</v>
      </c>
      <c r="E83" s="6">
        <v>0</v>
      </c>
      <c r="F83" s="10">
        <v>0</v>
      </c>
      <c r="G83" s="10">
        <v>2</v>
      </c>
      <c r="H83" s="9">
        <f>SUM(B83:G83)</f>
        <v>3</v>
      </c>
      <c r="I83" s="9">
        <f>B83*200+C83*100+D83*250+E83*100+F83*125+G83*75</f>
        <v>350</v>
      </c>
      <c r="J83" s="9" t="str">
        <f>IF(SUM(B83:G83)=0,"Sin ataques",TRIM(_xlfn.CONCAT(IF(B83+C83&gt;0,"PvP ("&amp;B83&amp;"-"&amp;C83&amp;") ",""),IF(D83+E83&gt;0,"Duelo ("&amp;D83&amp;"-"&amp;E83&amp;") ",""),IF(F83+G83&gt;0,"Barcos ("&amp;F83&amp;"-"&amp;G83&amp;")",""))))</f>
        <v>PvP (1-0) Barcos (0-2)</v>
      </c>
      <c r="K83" s="9" t="s">
        <v>11</v>
      </c>
      <c r="L83" s="9">
        <v>1</v>
      </c>
      <c r="M83" s="9" t="str">
        <f>"M_"&amp;TEXT(I83,"000")&amp;"_A_"&amp;H83&amp;"_B_"&amp;SUM(F83:G83)</f>
        <v>M_350_A_3_B_2</v>
      </c>
      <c r="N83" s="9" t="str">
        <f>"PvP"&amp;B83&amp;"-"&amp;C83&amp;"_Duelo"&amp;D83&amp;"-"&amp;E83&amp;"_Barcos"&amp;F83&amp;"-"&amp;G83</f>
        <v>PvP1-0_Duelo0-0_Barcos0-2</v>
      </c>
    </row>
    <row r="84" spans="1:14" x14ac:dyDescent="0.3">
      <c r="A84" s="9">
        <v>82</v>
      </c>
      <c r="B84" s="5">
        <v>0</v>
      </c>
      <c r="C84" s="5">
        <v>1</v>
      </c>
      <c r="D84" s="6">
        <v>0</v>
      </c>
      <c r="E84" s="6">
        <v>0</v>
      </c>
      <c r="F84" s="10">
        <v>2</v>
      </c>
      <c r="G84" s="10">
        <v>0</v>
      </c>
      <c r="H84" s="9">
        <f>SUM(B84:G84)</f>
        <v>3</v>
      </c>
      <c r="I84" s="9">
        <f>B84*200+C84*100+D84*250+E84*100+F84*125+G84*75</f>
        <v>350</v>
      </c>
      <c r="J84" s="9" t="str">
        <f>IF(SUM(B84:G84)=0,"Sin ataques",TRIM(_xlfn.CONCAT(IF(B84+C84&gt;0,"PvP ("&amp;B84&amp;"-"&amp;C84&amp;") ",""),IF(D84+E84&gt;0,"Duelo ("&amp;D84&amp;"-"&amp;E84&amp;") ",""),IF(F84+G84&gt;0,"Barcos ("&amp;F84&amp;"-"&amp;G84&amp;")",""))))</f>
        <v>PvP (0-1) Barcos (2-0)</v>
      </c>
      <c r="K84" s="9" t="s">
        <v>11</v>
      </c>
      <c r="L84" s="9">
        <v>1</v>
      </c>
      <c r="M84" s="9" t="str">
        <f>"M_"&amp;TEXT(I84,"000")&amp;"_A_"&amp;H84&amp;"_B_"&amp;SUM(F84:G84)</f>
        <v>M_350_A_3_B_2</v>
      </c>
      <c r="N84" s="9" t="str">
        <f>"PvP"&amp;B84&amp;"-"&amp;C84&amp;"_Duelo"&amp;D84&amp;"-"&amp;E84&amp;"_Barcos"&amp;F84&amp;"-"&amp;G84</f>
        <v>PvP0-1_Duelo0-0_Barcos2-0</v>
      </c>
    </row>
    <row r="85" spans="1:14" x14ac:dyDescent="0.3">
      <c r="A85" s="9">
        <v>83</v>
      </c>
      <c r="B85" s="5">
        <v>0</v>
      </c>
      <c r="C85" s="5">
        <v>1</v>
      </c>
      <c r="D85" s="6">
        <v>0</v>
      </c>
      <c r="E85" s="6">
        <v>0</v>
      </c>
      <c r="F85" s="10">
        <v>0</v>
      </c>
      <c r="G85" s="10">
        <v>3</v>
      </c>
      <c r="H85" s="9">
        <f>SUM(B85:G85)</f>
        <v>4</v>
      </c>
      <c r="I85" s="9">
        <f>B85*200+C85*100+D85*250+E85*100+F85*125+G85*75</f>
        <v>325</v>
      </c>
      <c r="J85" s="9" t="str">
        <f>IF(SUM(B85:G85)=0,"Sin ataques",TRIM(_xlfn.CONCAT(IF(B85+C85&gt;0,"PvP ("&amp;B85&amp;"-"&amp;C85&amp;") ",""),IF(D85+E85&gt;0,"Duelo ("&amp;D85&amp;"-"&amp;E85&amp;") ",""),IF(F85+G85&gt;0,"Barcos ("&amp;F85&amp;"-"&amp;G85&amp;")",""))))</f>
        <v>PvP (0-1) Barcos (0-3)</v>
      </c>
      <c r="K85" s="9" t="s">
        <v>11</v>
      </c>
      <c r="L85" s="9">
        <v>1</v>
      </c>
      <c r="M85" s="9" t="str">
        <f>"M_"&amp;TEXT(I85,"000")&amp;"_A_"&amp;H85&amp;"_B_"&amp;SUM(F85:G85)</f>
        <v>M_325_A_4_B_3</v>
      </c>
      <c r="N85" s="9" t="str">
        <f>"PvP"&amp;B85&amp;"-"&amp;C85&amp;"_Duelo"&amp;D85&amp;"-"&amp;E85&amp;"_Barcos"&amp;F85&amp;"-"&amp;G85</f>
        <v>PvP0-1_Duelo0-0_Barcos0-3</v>
      </c>
    </row>
    <row r="86" spans="1:14" x14ac:dyDescent="0.3">
      <c r="A86" s="9">
        <v>84</v>
      </c>
      <c r="B86" s="5">
        <v>0</v>
      </c>
      <c r="C86" s="5">
        <v>0</v>
      </c>
      <c r="D86" s="6">
        <v>0</v>
      </c>
      <c r="E86" s="6">
        <v>0</v>
      </c>
      <c r="F86" s="10">
        <v>2</v>
      </c>
      <c r="G86" s="10">
        <v>1</v>
      </c>
      <c r="H86" s="9">
        <f>SUM(B86:G86)</f>
        <v>3</v>
      </c>
      <c r="I86" s="9">
        <f>B86*200+C86*100+D86*250+E86*100+F86*125+G86*75</f>
        <v>325</v>
      </c>
      <c r="J86" s="9" t="str">
        <f>IF(SUM(B86:G86)=0,"Sin ataques",TRIM(_xlfn.CONCAT(IF(B86+C86&gt;0,"PvP ("&amp;B86&amp;"-"&amp;C86&amp;") ",""),IF(D86+E86&gt;0,"Duelo ("&amp;D86&amp;"-"&amp;E86&amp;") ",""),IF(F86+G86&gt;0,"Barcos ("&amp;F86&amp;"-"&amp;G86&amp;")",""))))</f>
        <v>Barcos (2-1)</v>
      </c>
      <c r="K86" s="9" t="s">
        <v>11</v>
      </c>
      <c r="L86" s="9">
        <v>1</v>
      </c>
      <c r="M86" s="9" t="str">
        <f>"M_"&amp;TEXT(I86,"000")&amp;"_A_"&amp;H86&amp;"_B_"&amp;SUM(F86:G86)</f>
        <v>M_325_A_3_B_3</v>
      </c>
      <c r="N86" s="9" t="str">
        <f>"PvP"&amp;B86&amp;"-"&amp;C86&amp;"_Duelo"&amp;D86&amp;"-"&amp;E86&amp;"_Barcos"&amp;F86&amp;"-"&amp;G86</f>
        <v>PvP0-0_Duelo0-0_Barcos2-1</v>
      </c>
    </row>
    <row r="87" spans="1:14" x14ac:dyDescent="0.3">
      <c r="A87" s="9">
        <v>85</v>
      </c>
      <c r="B87" s="5">
        <v>0</v>
      </c>
      <c r="C87" s="5">
        <v>0</v>
      </c>
      <c r="D87" s="6">
        <v>0</v>
      </c>
      <c r="E87" s="6">
        <v>2</v>
      </c>
      <c r="F87" s="10">
        <v>1</v>
      </c>
      <c r="G87" s="10">
        <v>0</v>
      </c>
      <c r="H87" s="9">
        <f>SUM(B87:G87)</f>
        <v>3</v>
      </c>
      <c r="I87" s="9">
        <f>B87*200+C87*100+D87*250+E87*100+F87*125+G87*75</f>
        <v>325</v>
      </c>
      <c r="J87" s="9" t="str">
        <f>IF(SUM(B87:G87)=0,"Sin ataques",TRIM(_xlfn.CONCAT(IF(B87+C87&gt;0,"PvP ("&amp;B87&amp;"-"&amp;C87&amp;") ",""),IF(D87+E87&gt;0,"Duelo ("&amp;D87&amp;"-"&amp;E87&amp;") ",""),IF(F87+G87&gt;0,"Barcos ("&amp;F87&amp;"-"&amp;G87&amp;")",""))))</f>
        <v>Duelo (0-2) Barcos (1-0)</v>
      </c>
      <c r="K87" s="9" t="s">
        <v>11</v>
      </c>
      <c r="L87" s="9">
        <v>1</v>
      </c>
      <c r="M87" s="9" t="str">
        <f>"M_"&amp;TEXT(I87,"000")&amp;"_A_"&amp;H87&amp;"_B_"&amp;SUM(F87:G87)</f>
        <v>M_325_A_3_B_1</v>
      </c>
      <c r="N87" s="9" t="str">
        <f>"PvP"&amp;B87&amp;"-"&amp;C87&amp;"_Duelo"&amp;D87&amp;"-"&amp;E87&amp;"_Barcos"&amp;F87&amp;"-"&amp;G87</f>
        <v>PvP0-0_Duelo0-2_Barcos1-0</v>
      </c>
    </row>
    <row r="88" spans="1:14" x14ac:dyDescent="0.3">
      <c r="A88" s="9">
        <v>86</v>
      </c>
      <c r="B88" s="5">
        <v>0</v>
      </c>
      <c r="C88" s="5">
        <v>2</v>
      </c>
      <c r="D88" s="6">
        <v>0</v>
      </c>
      <c r="E88" s="6">
        <v>0</v>
      </c>
      <c r="F88" s="10">
        <v>1</v>
      </c>
      <c r="G88" s="10">
        <v>0</v>
      </c>
      <c r="H88" s="9">
        <f>SUM(B88:G88)</f>
        <v>3</v>
      </c>
      <c r="I88" s="9">
        <f>B88*200+C88*100+D88*250+E88*100+F88*125+G88*75</f>
        <v>325</v>
      </c>
      <c r="J88" s="9" t="str">
        <f>IF(SUM(B88:G88)=0,"Sin ataques",TRIM(_xlfn.CONCAT(IF(B88+C88&gt;0,"PvP ("&amp;B88&amp;"-"&amp;C88&amp;") ",""),IF(D88+E88&gt;0,"Duelo ("&amp;D88&amp;"-"&amp;E88&amp;") ",""),IF(F88+G88&gt;0,"Barcos ("&amp;F88&amp;"-"&amp;G88&amp;")",""))))</f>
        <v>PvP (0-2) Barcos (1-0)</v>
      </c>
      <c r="K88" s="9" t="s">
        <v>11</v>
      </c>
      <c r="L88" s="9">
        <v>1</v>
      </c>
      <c r="M88" s="9" t="str">
        <f>"M_"&amp;TEXT(I88,"000")&amp;"_A_"&amp;H88&amp;"_B_"&amp;SUM(F88:G88)</f>
        <v>M_325_A_3_B_1</v>
      </c>
      <c r="N88" s="9" t="str">
        <f>"PvP"&amp;B88&amp;"-"&amp;C88&amp;"_Duelo"&amp;D88&amp;"-"&amp;E88&amp;"_Barcos"&amp;F88&amp;"-"&amp;G88</f>
        <v>PvP0-2_Duelo0-0_Barcos1-0</v>
      </c>
    </row>
    <row r="89" spans="1:14" x14ac:dyDescent="0.3">
      <c r="A89" s="9">
        <v>87</v>
      </c>
      <c r="B89" s="5">
        <v>1</v>
      </c>
      <c r="C89" s="5">
        <v>0</v>
      </c>
      <c r="D89" s="6">
        <v>0</v>
      </c>
      <c r="E89" s="6">
        <v>0</v>
      </c>
      <c r="F89" s="10">
        <v>1</v>
      </c>
      <c r="G89" s="10">
        <v>0</v>
      </c>
      <c r="H89" s="9">
        <f>SUM(B89:G89)</f>
        <v>2</v>
      </c>
      <c r="I89" s="9">
        <f>B89*200+C89*100+D89*250+E89*100+F89*125+G89*75</f>
        <v>325</v>
      </c>
      <c r="J89" s="9" t="str">
        <f>IF(SUM(B89:G89)=0,"Sin ataques",TRIM(_xlfn.CONCAT(IF(B89+C89&gt;0,"PvP ("&amp;B89&amp;"-"&amp;C89&amp;") ",""),IF(D89+E89&gt;0,"Duelo ("&amp;D89&amp;"-"&amp;E89&amp;") ",""),IF(F89+G89&gt;0,"Barcos ("&amp;F89&amp;"-"&amp;G89&amp;")",""))))</f>
        <v>PvP (1-0) Barcos (1-0)</v>
      </c>
      <c r="K89" s="9" t="s">
        <v>11</v>
      </c>
      <c r="L89" s="9">
        <v>1</v>
      </c>
      <c r="M89" s="9" t="str">
        <f>"M_"&amp;TEXT(I89,"000")&amp;"_A_"&amp;H89&amp;"_B_"&amp;SUM(F89:G89)</f>
        <v>M_325_A_2_B_1</v>
      </c>
      <c r="N89" s="9" t="str">
        <f>"PvP"&amp;B89&amp;"-"&amp;C89&amp;"_Duelo"&amp;D89&amp;"-"&amp;E89&amp;"_Barcos"&amp;F89&amp;"-"&amp;G89</f>
        <v>PvP1-0_Duelo0-0_Barcos1-0</v>
      </c>
    </row>
    <row r="90" spans="1:14" x14ac:dyDescent="0.3">
      <c r="A90" s="9">
        <v>88</v>
      </c>
      <c r="B90" s="5">
        <v>0</v>
      </c>
      <c r="C90" s="5">
        <v>0</v>
      </c>
      <c r="D90" s="6">
        <v>0</v>
      </c>
      <c r="E90" s="6">
        <v>0</v>
      </c>
      <c r="F90" s="10">
        <v>0</v>
      </c>
      <c r="G90" s="10">
        <v>4</v>
      </c>
      <c r="H90" s="9">
        <f>SUM(B90:G90)</f>
        <v>4</v>
      </c>
      <c r="I90" s="9">
        <f>B90*200+C90*100+D90*250+E90*100+F90*125+G90*75</f>
        <v>300</v>
      </c>
      <c r="J90" s="9" t="str">
        <f>IF(SUM(B90:G90)=0,"Sin ataques",TRIM(_xlfn.CONCAT(IF(B90+C90&gt;0,"PvP ("&amp;B90&amp;"-"&amp;C90&amp;") ",""),IF(D90+E90&gt;0,"Duelo ("&amp;D90&amp;"-"&amp;E90&amp;") ",""),IF(F90+G90&gt;0,"Barcos ("&amp;F90&amp;"-"&amp;G90&amp;")",""))))</f>
        <v>Barcos (0-4)</v>
      </c>
      <c r="K90" s="9" t="s">
        <v>11</v>
      </c>
      <c r="L90" s="9">
        <v>1</v>
      </c>
      <c r="M90" s="9" t="str">
        <f>"M_"&amp;TEXT(I90,"000")&amp;"_A_"&amp;H90&amp;"_B_"&amp;SUM(F90:G90)</f>
        <v>M_300_A_4_B_4</v>
      </c>
      <c r="N90" s="9" t="str">
        <f>"PvP"&amp;B90&amp;"-"&amp;C90&amp;"_Duelo"&amp;D90&amp;"-"&amp;E90&amp;"_Barcos"&amp;F90&amp;"-"&amp;G90</f>
        <v>PvP0-0_Duelo0-0_Barcos0-4</v>
      </c>
    </row>
    <row r="91" spans="1:14" x14ac:dyDescent="0.3">
      <c r="A91" s="9">
        <v>89</v>
      </c>
      <c r="B91" s="5">
        <v>0</v>
      </c>
      <c r="C91" s="5">
        <v>1</v>
      </c>
      <c r="D91" s="6">
        <v>0</v>
      </c>
      <c r="E91" s="6">
        <v>0</v>
      </c>
      <c r="F91" s="10">
        <v>1</v>
      </c>
      <c r="G91" s="10">
        <v>1</v>
      </c>
      <c r="H91" s="9">
        <f>SUM(B91:G91)</f>
        <v>3</v>
      </c>
      <c r="I91" s="9">
        <f>B91*200+C91*100+D91*250+E91*100+F91*125+G91*75</f>
        <v>300</v>
      </c>
      <c r="J91" s="9" t="str">
        <f>IF(SUM(B91:G91)=0,"Sin ataques",TRIM(_xlfn.CONCAT(IF(B91+C91&gt;0,"PvP ("&amp;B91&amp;"-"&amp;C91&amp;") ",""),IF(D91+E91&gt;0,"Duelo ("&amp;D91&amp;"-"&amp;E91&amp;") ",""),IF(F91+G91&gt;0,"Barcos ("&amp;F91&amp;"-"&amp;G91&amp;")",""))))</f>
        <v>PvP (0-1) Barcos (1-1)</v>
      </c>
      <c r="K91" s="9" t="s">
        <v>11</v>
      </c>
      <c r="L91" s="9">
        <v>1</v>
      </c>
      <c r="M91" s="9" t="str">
        <f>"M_"&amp;TEXT(I91,"000")&amp;"_A_"&amp;H91&amp;"_B_"&amp;SUM(F91:G91)</f>
        <v>M_300_A_3_B_2</v>
      </c>
      <c r="N91" s="9" t="str">
        <f>"PvP"&amp;B91&amp;"-"&amp;C91&amp;"_Duelo"&amp;D91&amp;"-"&amp;E91&amp;"_Barcos"&amp;F91&amp;"-"&amp;G91</f>
        <v>PvP0-1_Duelo0-0_Barcos1-1</v>
      </c>
    </row>
    <row r="92" spans="1:14" x14ac:dyDescent="0.3">
      <c r="A92" s="9">
        <v>90</v>
      </c>
      <c r="B92" s="5">
        <v>0</v>
      </c>
      <c r="C92" s="5">
        <v>1</v>
      </c>
      <c r="D92" s="6">
        <v>0</v>
      </c>
      <c r="E92" s="6">
        <v>2</v>
      </c>
      <c r="F92" s="10">
        <v>0</v>
      </c>
      <c r="G92" s="10">
        <v>0</v>
      </c>
      <c r="H92" s="9">
        <f>SUM(B92:G92)</f>
        <v>3</v>
      </c>
      <c r="I92" s="9">
        <f>B92*200+C92*100+D92*250+E92*100+F92*125+G92*75</f>
        <v>300</v>
      </c>
      <c r="J92" s="9" t="str">
        <f>IF(SUM(B92:G92)=0,"Sin ataques",TRIM(_xlfn.CONCAT(IF(B92+C92&gt;0,"PvP ("&amp;B92&amp;"-"&amp;C92&amp;") ",""),IF(D92+E92&gt;0,"Duelo ("&amp;D92&amp;"-"&amp;E92&amp;") ",""),IF(F92+G92&gt;0,"Barcos ("&amp;F92&amp;"-"&amp;G92&amp;")",""))))</f>
        <v>PvP (0-1) Duelo (0-2)</v>
      </c>
      <c r="K92" s="9" t="s">
        <v>11</v>
      </c>
      <c r="L92" s="9">
        <v>1</v>
      </c>
      <c r="M92" s="9" t="str">
        <f>"M_"&amp;TEXT(I92,"000")&amp;"_A_"&amp;H92&amp;"_B_"&amp;SUM(F92:G92)</f>
        <v>M_300_A_3_B_0</v>
      </c>
      <c r="N92" s="9" t="str">
        <f>"PvP"&amp;B92&amp;"-"&amp;C92&amp;"_Duelo"&amp;D92&amp;"-"&amp;E92&amp;"_Barcos"&amp;F92&amp;"-"&amp;G92</f>
        <v>PvP0-1_Duelo0-2_Barcos0-0</v>
      </c>
    </row>
    <row r="93" spans="1:14" x14ac:dyDescent="0.3">
      <c r="A93" s="9">
        <v>91</v>
      </c>
      <c r="B93" s="5">
        <v>0</v>
      </c>
      <c r="C93" s="5">
        <v>3</v>
      </c>
      <c r="D93" s="6">
        <v>0</v>
      </c>
      <c r="E93" s="6">
        <v>0</v>
      </c>
      <c r="F93" s="10">
        <v>0</v>
      </c>
      <c r="G93" s="10">
        <v>0</v>
      </c>
      <c r="H93" s="9">
        <f>SUM(B93:G93)</f>
        <v>3</v>
      </c>
      <c r="I93" s="9">
        <f>B93*200+C93*100+D93*250+E93*100+F93*125+G93*75</f>
        <v>300</v>
      </c>
      <c r="J93" s="9" t="str">
        <f>IF(SUM(B93:G93)=0,"Sin ataques",TRIM(_xlfn.CONCAT(IF(B93+C93&gt;0,"PvP ("&amp;B93&amp;"-"&amp;C93&amp;") ",""),IF(D93+E93&gt;0,"Duelo ("&amp;D93&amp;"-"&amp;E93&amp;") ",""),IF(F93+G93&gt;0,"Barcos ("&amp;F93&amp;"-"&amp;G93&amp;")",""))))</f>
        <v>PvP (0-3)</v>
      </c>
      <c r="K93" s="9" t="s">
        <v>11</v>
      </c>
      <c r="L93" s="9">
        <v>1</v>
      </c>
      <c r="M93" s="9" t="str">
        <f>"M_"&amp;TEXT(I93,"000")&amp;"_A_"&amp;H93&amp;"_B_"&amp;SUM(F93:G93)</f>
        <v>M_300_A_3_B_0</v>
      </c>
      <c r="N93" s="9" t="str">
        <f>"PvP"&amp;B93&amp;"-"&amp;C93&amp;"_Duelo"&amp;D93&amp;"-"&amp;E93&amp;"_Barcos"&amp;F93&amp;"-"&amp;G93</f>
        <v>PvP0-3_Duelo0-0_Barcos0-0</v>
      </c>
    </row>
    <row r="94" spans="1:14" x14ac:dyDescent="0.3">
      <c r="A94" s="9">
        <v>92</v>
      </c>
      <c r="B94" s="5">
        <v>1</v>
      </c>
      <c r="C94" s="5">
        <v>1</v>
      </c>
      <c r="D94" s="6">
        <v>0</v>
      </c>
      <c r="E94" s="6">
        <v>0</v>
      </c>
      <c r="F94" s="10">
        <v>0</v>
      </c>
      <c r="G94" s="10">
        <v>0</v>
      </c>
      <c r="H94" s="9">
        <f>SUM(B94:G94)</f>
        <v>2</v>
      </c>
      <c r="I94" s="9">
        <f>B94*200+C94*100+D94*250+E94*100+F94*125+G94*75</f>
        <v>300</v>
      </c>
      <c r="J94" s="9" t="str">
        <f>IF(SUM(B94:G94)=0,"Sin ataques",TRIM(_xlfn.CONCAT(IF(B94+C94&gt;0,"PvP ("&amp;B94&amp;"-"&amp;C94&amp;") ",""),IF(D94+E94&gt;0,"Duelo ("&amp;D94&amp;"-"&amp;E94&amp;") ",""),IF(F94+G94&gt;0,"Barcos ("&amp;F94&amp;"-"&amp;G94&amp;")",""))))</f>
        <v>PvP (1-1)</v>
      </c>
      <c r="K94" s="9" t="s">
        <v>11</v>
      </c>
      <c r="L94" s="9">
        <v>1</v>
      </c>
      <c r="M94" s="9" t="str">
        <f>"M_"&amp;TEXT(I94,"000")&amp;"_A_"&amp;H94&amp;"_B_"&amp;SUM(F94:G94)</f>
        <v>M_300_A_2_B_0</v>
      </c>
      <c r="N94" s="9" t="str">
        <f>"PvP"&amp;B94&amp;"-"&amp;C94&amp;"_Duelo"&amp;D94&amp;"-"&amp;E94&amp;"_Barcos"&amp;F94&amp;"-"&amp;G94</f>
        <v>PvP1-1_Duelo0-0_Barcos0-0</v>
      </c>
    </row>
    <row r="95" spans="1:14" x14ac:dyDescent="0.3">
      <c r="A95" s="9">
        <v>93</v>
      </c>
      <c r="B95" s="5">
        <v>0</v>
      </c>
      <c r="C95" s="5">
        <v>0</v>
      </c>
      <c r="D95" s="6">
        <v>0</v>
      </c>
      <c r="E95" s="6">
        <v>0</v>
      </c>
      <c r="F95" s="10">
        <v>1</v>
      </c>
      <c r="G95" s="10">
        <v>2</v>
      </c>
      <c r="H95" s="9">
        <f>SUM(B95:G95)</f>
        <v>3</v>
      </c>
      <c r="I95" s="9">
        <f>B95*200+C95*100+D95*250+E95*100+F95*125+G95*75</f>
        <v>275</v>
      </c>
      <c r="J95" s="9" t="str">
        <f>IF(SUM(B95:G95)=0,"Sin ataques",TRIM(_xlfn.CONCAT(IF(B95+C95&gt;0,"PvP ("&amp;B95&amp;"-"&amp;C95&amp;") ",""),IF(D95+E95&gt;0,"Duelo ("&amp;D95&amp;"-"&amp;E95&amp;") ",""),IF(F95+G95&gt;0,"Barcos ("&amp;F95&amp;"-"&amp;G95&amp;")",""))))</f>
        <v>Barcos (1-2)</v>
      </c>
      <c r="K95" s="9" t="s">
        <v>11</v>
      </c>
      <c r="L95" s="9">
        <v>1</v>
      </c>
      <c r="M95" s="9" t="str">
        <f>"M_"&amp;TEXT(I95,"000")&amp;"_A_"&amp;H95&amp;"_B_"&amp;SUM(F95:G95)</f>
        <v>M_275_A_3_B_3</v>
      </c>
      <c r="N95" s="9" t="str">
        <f>"PvP"&amp;B95&amp;"-"&amp;C95&amp;"_Duelo"&amp;D95&amp;"-"&amp;E95&amp;"_Barcos"&amp;F95&amp;"-"&amp;G95</f>
        <v>PvP0-0_Duelo0-0_Barcos1-2</v>
      </c>
    </row>
    <row r="96" spans="1:14" x14ac:dyDescent="0.3">
      <c r="A96" s="9">
        <v>94</v>
      </c>
      <c r="B96" s="5">
        <v>0</v>
      </c>
      <c r="C96" s="5">
        <v>0</v>
      </c>
      <c r="D96" s="6">
        <v>0</v>
      </c>
      <c r="E96" s="6">
        <v>2</v>
      </c>
      <c r="F96" s="10">
        <v>0</v>
      </c>
      <c r="G96" s="10">
        <v>1</v>
      </c>
      <c r="H96" s="9">
        <f>SUM(B96:G96)</f>
        <v>3</v>
      </c>
      <c r="I96" s="9">
        <f>B96*200+C96*100+D96*250+E96*100+F96*125+G96*75</f>
        <v>275</v>
      </c>
      <c r="J96" s="9" t="str">
        <f>IF(SUM(B96:G96)=0,"Sin ataques",TRIM(_xlfn.CONCAT(IF(B96+C96&gt;0,"PvP ("&amp;B96&amp;"-"&amp;C96&amp;") ",""),IF(D96+E96&gt;0,"Duelo ("&amp;D96&amp;"-"&amp;E96&amp;") ",""),IF(F96+G96&gt;0,"Barcos ("&amp;F96&amp;"-"&amp;G96&amp;")",""))))</f>
        <v>Duelo (0-2) Barcos (0-1)</v>
      </c>
      <c r="K96" s="9" t="s">
        <v>11</v>
      </c>
      <c r="L96" s="9">
        <v>1</v>
      </c>
      <c r="M96" s="9" t="str">
        <f>"M_"&amp;TEXT(I96,"000")&amp;"_A_"&amp;H96&amp;"_B_"&amp;SUM(F96:G96)</f>
        <v>M_275_A_3_B_1</v>
      </c>
      <c r="N96" s="9" t="str">
        <f>"PvP"&amp;B96&amp;"-"&amp;C96&amp;"_Duelo"&amp;D96&amp;"-"&amp;E96&amp;"_Barcos"&amp;F96&amp;"-"&amp;G96</f>
        <v>PvP0-0_Duelo0-2_Barcos0-1</v>
      </c>
    </row>
    <row r="97" spans="1:14" x14ac:dyDescent="0.3">
      <c r="A97" s="9">
        <v>95</v>
      </c>
      <c r="B97" s="5">
        <v>0</v>
      </c>
      <c r="C97" s="5">
        <v>2</v>
      </c>
      <c r="D97" s="6">
        <v>0</v>
      </c>
      <c r="E97" s="6">
        <v>0</v>
      </c>
      <c r="F97" s="10">
        <v>0</v>
      </c>
      <c r="G97" s="10">
        <v>1</v>
      </c>
      <c r="H97" s="9">
        <f>SUM(B97:G97)</f>
        <v>3</v>
      </c>
      <c r="I97" s="9">
        <f>B97*200+C97*100+D97*250+E97*100+F97*125+G97*75</f>
        <v>275</v>
      </c>
      <c r="J97" s="9" t="str">
        <f>IF(SUM(B97:G97)=0,"Sin ataques",TRIM(_xlfn.CONCAT(IF(B97+C97&gt;0,"PvP ("&amp;B97&amp;"-"&amp;C97&amp;") ",""),IF(D97+E97&gt;0,"Duelo ("&amp;D97&amp;"-"&amp;E97&amp;") ",""),IF(F97+G97&gt;0,"Barcos ("&amp;F97&amp;"-"&amp;G97&amp;")",""))))</f>
        <v>PvP (0-2) Barcos (0-1)</v>
      </c>
      <c r="K97" s="9" t="s">
        <v>11</v>
      </c>
      <c r="L97" s="9">
        <v>1</v>
      </c>
      <c r="M97" s="9" t="str">
        <f>"M_"&amp;TEXT(I97,"000")&amp;"_A_"&amp;H97&amp;"_B_"&amp;SUM(F97:G97)</f>
        <v>M_275_A_3_B_1</v>
      </c>
      <c r="N97" s="9" t="str">
        <f>"PvP"&amp;B97&amp;"-"&amp;C97&amp;"_Duelo"&amp;D97&amp;"-"&amp;E97&amp;"_Barcos"&amp;F97&amp;"-"&amp;G97</f>
        <v>PvP0-2_Duelo0-0_Barcos0-1</v>
      </c>
    </row>
    <row r="98" spans="1:14" x14ac:dyDescent="0.3">
      <c r="A98" s="9">
        <v>96</v>
      </c>
      <c r="B98" s="5">
        <v>1</v>
      </c>
      <c r="C98" s="5">
        <v>0</v>
      </c>
      <c r="D98" s="6">
        <v>0</v>
      </c>
      <c r="E98" s="6">
        <v>0</v>
      </c>
      <c r="F98" s="10">
        <v>0</v>
      </c>
      <c r="G98" s="10">
        <v>1</v>
      </c>
      <c r="H98" s="9">
        <f>SUM(B98:G98)</f>
        <v>2</v>
      </c>
      <c r="I98" s="9">
        <f>B98*200+C98*100+D98*250+E98*100+F98*125+G98*75</f>
        <v>275</v>
      </c>
      <c r="J98" s="9" t="str">
        <f>IF(SUM(B98:G98)=0,"Sin ataques",TRIM(_xlfn.CONCAT(IF(B98+C98&gt;0,"PvP ("&amp;B98&amp;"-"&amp;C98&amp;") ",""),IF(D98+E98&gt;0,"Duelo ("&amp;D98&amp;"-"&amp;E98&amp;") ",""),IF(F98+G98&gt;0,"Barcos ("&amp;F98&amp;"-"&amp;G98&amp;")",""))))</f>
        <v>PvP (1-0) Barcos (0-1)</v>
      </c>
      <c r="K98" s="9" t="s">
        <v>11</v>
      </c>
      <c r="L98" s="9">
        <v>1</v>
      </c>
      <c r="M98" s="9" t="str">
        <f>"M_"&amp;TEXT(I98,"000")&amp;"_A_"&amp;H98&amp;"_B_"&amp;SUM(F98:G98)</f>
        <v>M_275_A_2_B_1</v>
      </c>
      <c r="N98" s="9" t="str">
        <f>"PvP"&amp;B98&amp;"-"&amp;C98&amp;"_Duelo"&amp;D98&amp;"-"&amp;E98&amp;"_Barcos"&amp;F98&amp;"-"&amp;G98</f>
        <v>PvP1-0_Duelo0-0_Barcos0-1</v>
      </c>
    </row>
    <row r="99" spans="1:14" x14ac:dyDescent="0.3">
      <c r="A99" s="9">
        <v>97</v>
      </c>
      <c r="B99" s="5">
        <v>0</v>
      </c>
      <c r="C99" s="5">
        <v>1</v>
      </c>
      <c r="D99" s="6">
        <v>0</v>
      </c>
      <c r="E99" s="6">
        <v>0</v>
      </c>
      <c r="F99" s="10">
        <v>0</v>
      </c>
      <c r="G99" s="10">
        <v>2</v>
      </c>
      <c r="H99" s="9">
        <f>SUM(B99:G99)</f>
        <v>3</v>
      </c>
      <c r="I99" s="9">
        <f>B99*200+C99*100+D99*250+E99*100+F99*125+G99*75</f>
        <v>250</v>
      </c>
      <c r="J99" s="9" t="str">
        <f>IF(SUM(B99:G99)=0,"Sin ataques",TRIM(_xlfn.CONCAT(IF(B99+C99&gt;0,"PvP ("&amp;B99&amp;"-"&amp;C99&amp;") ",""),IF(D99+E99&gt;0,"Duelo ("&amp;D99&amp;"-"&amp;E99&amp;") ",""),IF(F99+G99&gt;0,"Barcos ("&amp;F99&amp;"-"&amp;G99&amp;")",""))))</f>
        <v>PvP (0-1) Barcos (0-2)</v>
      </c>
      <c r="K99" s="9" t="s">
        <v>11</v>
      </c>
      <c r="L99" s="9">
        <v>1</v>
      </c>
      <c r="M99" s="9" t="str">
        <f>"M_"&amp;TEXT(I99,"000")&amp;"_A_"&amp;H99&amp;"_B_"&amp;SUM(F99:G99)</f>
        <v>M_250_A_3_B_2</v>
      </c>
      <c r="N99" s="9" t="str">
        <f>"PvP"&amp;B99&amp;"-"&amp;C99&amp;"_Duelo"&amp;D99&amp;"-"&amp;E99&amp;"_Barcos"&amp;F99&amp;"-"&amp;G99</f>
        <v>PvP0-1_Duelo0-0_Barcos0-2</v>
      </c>
    </row>
    <row r="100" spans="1:14" x14ac:dyDescent="0.3">
      <c r="A100" s="9">
        <v>98</v>
      </c>
      <c r="B100" s="5">
        <v>0</v>
      </c>
      <c r="C100" s="5">
        <v>0</v>
      </c>
      <c r="D100" s="6">
        <v>0</v>
      </c>
      <c r="E100" s="6">
        <v>0</v>
      </c>
      <c r="F100" s="10">
        <v>2</v>
      </c>
      <c r="G100" s="10">
        <v>0</v>
      </c>
      <c r="H100" s="9">
        <f>SUM(B100:G100)</f>
        <v>2</v>
      </c>
      <c r="I100" s="9">
        <f>B100*200+C100*100+D100*250+E100*100+F100*125+G100*75</f>
        <v>250</v>
      </c>
      <c r="J100" s="9" t="str">
        <f>IF(SUM(B100:G100)=0,"Sin ataques",TRIM(_xlfn.CONCAT(IF(B100+C100&gt;0,"PvP ("&amp;B100&amp;"-"&amp;C100&amp;") ",""),IF(D100+E100&gt;0,"Duelo ("&amp;D100&amp;"-"&amp;E100&amp;") ",""),IF(F100+G100&gt;0,"Barcos ("&amp;F100&amp;"-"&amp;G100&amp;")",""))))</f>
        <v>Barcos (2-0)</v>
      </c>
      <c r="K100" s="9" t="s">
        <v>11</v>
      </c>
      <c r="L100" s="9">
        <v>1</v>
      </c>
      <c r="M100" s="9" t="str">
        <f>"M_"&amp;TEXT(I100,"000")&amp;"_A_"&amp;H100&amp;"_B_"&amp;SUM(F100:G100)</f>
        <v>M_250_A_2_B_2</v>
      </c>
      <c r="N100" s="9" t="str">
        <f>"PvP"&amp;B100&amp;"-"&amp;C100&amp;"_Duelo"&amp;D100&amp;"-"&amp;E100&amp;"_Barcos"&amp;F100&amp;"-"&amp;G100</f>
        <v>PvP0-0_Duelo0-0_Barcos2-0</v>
      </c>
    </row>
    <row r="101" spans="1:14" x14ac:dyDescent="0.3">
      <c r="A101" s="9">
        <v>99</v>
      </c>
      <c r="B101" s="5">
        <v>0</v>
      </c>
      <c r="C101" s="5">
        <v>0</v>
      </c>
      <c r="D101" s="6">
        <v>0</v>
      </c>
      <c r="E101" s="6">
        <v>0</v>
      </c>
      <c r="F101" s="10">
        <v>0</v>
      </c>
      <c r="G101" s="10">
        <v>3</v>
      </c>
      <c r="H101" s="9">
        <f>SUM(B101:G101)</f>
        <v>3</v>
      </c>
      <c r="I101" s="9">
        <f>B101*200+C101*100+D101*250+E101*100+F101*125+G101*75</f>
        <v>225</v>
      </c>
      <c r="J101" s="9" t="str">
        <f>IF(SUM(B101:G101)=0,"Sin ataques",TRIM(_xlfn.CONCAT(IF(B101+C101&gt;0,"PvP ("&amp;B101&amp;"-"&amp;C101&amp;") ",""),IF(D101+E101&gt;0,"Duelo ("&amp;D101&amp;"-"&amp;E101&amp;") ",""),IF(F101+G101&gt;0,"Barcos ("&amp;F101&amp;"-"&amp;G101&amp;")",""))))</f>
        <v>Barcos (0-3)</v>
      </c>
      <c r="K101" s="9" t="s">
        <v>11</v>
      </c>
      <c r="L101" s="9">
        <v>1</v>
      </c>
      <c r="M101" s="9" t="str">
        <f>"M_"&amp;TEXT(I101,"000")&amp;"_A_"&amp;H101&amp;"_B_"&amp;SUM(F101:G101)</f>
        <v>M_225_A_3_B_3</v>
      </c>
      <c r="N101" s="9" t="str">
        <f>"PvP"&amp;B101&amp;"-"&amp;C101&amp;"_Duelo"&amp;D101&amp;"-"&amp;E101&amp;"_Barcos"&amp;F101&amp;"-"&amp;G101</f>
        <v>PvP0-0_Duelo0-0_Barcos0-3</v>
      </c>
    </row>
    <row r="102" spans="1:14" x14ac:dyDescent="0.3">
      <c r="A102" s="9">
        <v>100</v>
      </c>
      <c r="B102" s="5">
        <v>0</v>
      </c>
      <c r="C102" s="5">
        <v>1</v>
      </c>
      <c r="D102" s="6">
        <v>0</v>
      </c>
      <c r="E102" s="6">
        <v>0</v>
      </c>
      <c r="F102" s="10">
        <v>1</v>
      </c>
      <c r="G102" s="10">
        <v>0</v>
      </c>
      <c r="H102" s="9">
        <f>SUM(B102:G102)</f>
        <v>2</v>
      </c>
      <c r="I102" s="9">
        <f>B102*200+C102*100+D102*250+E102*100+F102*125+G102*75</f>
        <v>225</v>
      </c>
      <c r="J102" s="9" t="str">
        <f>IF(SUM(B102:G102)=0,"Sin ataques",TRIM(_xlfn.CONCAT(IF(B102+C102&gt;0,"PvP ("&amp;B102&amp;"-"&amp;C102&amp;") ",""),IF(D102+E102&gt;0,"Duelo ("&amp;D102&amp;"-"&amp;E102&amp;") ",""),IF(F102+G102&gt;0,"Barcos ("&amp;F102&amp;"-"&amp;G102&amp;")",""))))</f>
        <v>PvP (0-1) Barcos (1-0)</v>
      </c>
      <c r="K102" s="9" t="s">
        <v>11</v>
      </c>
      <c r="L102" s="9">
        <v>1</v>
      </c>
      <c r="M102" s="9" t="str">
        <f>"M_"&amp;TEXT(I102,"000")&amp;"_A_"&amp;H102&amp;"_B_"&amp;SUM(F102:G102)</f>
        <v>M_225_A_2_B_1</v>
      </c>
      <c r="N102" s="9" t="str">
        <f>"PvP"&amp;B102&amp;"-"&amp;C102&amp;"_Duelo"&amp;D102&amp;"-"&amp;E102&amp;"_Barcos"&amp;F102&amp;"-"&amp;G102</f>
        <v>PvP0-1_Duelo0-0_Barcos1-0</v>
      </c>
    </row>
    <row r="103" spans="1:14" x14ac:dyDescent="0.3">
      <c r="A103" s="9">
        <v>101</v>
      </c>
      <c r="B103" s="5">
        <v>0</v>
      </c>
      <c r="C103" s="5">
        <v>0</v>
      </c>
      <c r="D103" s="6">
        <v>0</v>
      </c>
      <c r="E103" s="6">
        <v>0</v>
      </c>
      <c r="F103" s="10">
        <v>1</v>
      </c>
      <c r="G103" s="10">
        <v>1</v>
      </c>
      <c r="H103" s="9">
        <f>SUM(B103:G103)</f>
        <v>2</v>
      </c>
      <c r="I103" s="9">
        <f>B103*200+C103*100+D103*250+E103*100+F103*125+G103*75</f>
        <v>200</v>
      </c>
      <c r="J103" s="9" t="str">
        <f>IF(SUM(B103:G103)=0,"Sin ataques",TRIM(_xlfn.CONCAT(IF(B103+C103&gt;0,"PvP ("&amp;B103&amp;"-"&amp;C103&amp;") ",""),IF(D103+E103&gt;0,"Duelo ("&amp;D103&amp;"-"&amp;E103&amp;") ",""),IF(F103+G103&gt;0,"Barcos ("&amp;F103&amp;"-"&amp;G103&amp;")",""))))</f>
        <v>Barcos (1-1)</v>
      </c>
      <c r="K103" s="9" t="s">
        <v>11</v>
      </c>
      <c r="L103" s="9">
        <v>1</v>
      </c>
      <c r="M103" s="9" t="str">
        <f>"M_"&amp;TEXT(I103,"000")&amp;"_A_"&amp;H103&amp;"_B_"&amp;SUM(F103:G103)</f>
        <v>M_200_A_2_B_2</v>
      </c>
      <c r="N103" s="9" t="str">
        <f>"PvP"&amp;B103&amp;"-"&amp;C103&amp;"_Duelo"&amp;D103&amp;"-"&amp;E103&amp;"_Barcos"&amp;F103&amp;"-"&amp;G103</f>
        <v>PvP0-0_Duelo0-0_Barcos1-1</v>
      </c>
    </row>
    <row r="104" spans="1:14" x14ac:dyDescent="0.3">
      <c r="A104" s="9">
        <v>102</v>
      </c>
      <c r="B104" s="5">
        <v>0</v>
      </c>
      <c r="C104" s="5">
        <v>0</v>
      </c>
      <c r="D104" s="6">
        <v>0</v>
      </c>
      <c r="E104" s="6">
        <v>2</v>
      </c>
      <c r="F104" s="10">
        <v>0</v>
      </c>
      <c r="G104" s="10">
        <v>0</v>
      </c>
      <c r="H104" s="9">
        <f>SUM(B104:G104)</f>
        <v>2</v>
      </c>
      <c r="I104" s="9">
        <f>B104*200+C104*100+D104*250+E104*100+F104*125+G104*75</f>
        <v>200</v>
      </c>
      <c r="J104" s="9" t="str">
        <f>IF(SUM(B104:G104)=0,"Sin ataques",TRIM(_xlfn.CONCAT(IF(B104+C104&gt;0,"PvP ("&amp;B104&amp;"-"&amp;C104&amp;") ",""),IF(D104+E104&gt;0,"Duelo ("&amp;D104&amp;"-"&amp;E104&amp;") ",""),IF(F104+G104&gt;0,"Barcos ("&amp;F104&amp;"-"&amp;G104&amp;")",""))))</f>
        <v>Duelo (0-2)</v>
      </c>
      <c r="K104" s="9" t="s">
        <v>11</v>
      </c>
      <c r="L104" s="9">
        <v>1</v>
      </c>
      <c r="M104" s="9" t="str">
        <f>"M_"&amp;TEXT(I104,"000")&amp;"_A_"&amp;H104&amp;"_B_"&amp;SUM(F104:G104)</f>
        <v>M_200_A_2_B_0</v>
      </c>
      <c r="N104" s="9" t="str">
        <f>"PvP"&amp;B104&amp;"-"&amp;C104&amp;"_Duelo"&amp;D104&amp;"-"&amp;E104&amp;"_Barcos"&amp;F104&amp;"-"&amp;G104</f>
        <v>PvP0-0_Duelo0-2_Barcos0-0</v>
      </c>
    </row>
    <row r="105" spans="1:14" x14ac:dyDescent="0.3">
      <c r="A105" s="9">
        <v>103</v>
      </c>
      <c r="B105" s="5">
        <v>0</v>
      </c>
      <c r="C105" s="5">
        <v>2</v>
      </c>
      <c r="D105" s="6">
        <v>0</v>
      </c>
      <c r="E105" s="6">
        <v>0</v>
      </c>
      <c r="F105" s="10">
        <v>0</v>
      </c>
      <c r="G105" s="10">
        <v>0</v>
      </c>
      <c r="H105" s="9">
        <f>SUM(B105:G105)</f>
        <v>2</v>
      </c>
      <c r="I105" s="9">
        <f>B105*200+C105*100+D105*250+E105*100+F105*125+G105*75</f>
        <v>200</v>
      </c>
      <c r="J105" s="9" t="str">
        <f>IF(SUM(B105:G105)=0,"Sin ataques",TRIM(_xlfn.CONCAT(IF(B105+C105&gt;0,"PvP ("&amp;B105&amp;"-"&amp;C105&amp;") ",""),IF(D105+E105&gt;0,"Duelo ("&amp;D105&amp;"-"&amp;E105&amp;") ",""),IF(F105+G105&gt;0,"Barcos ("&amp;F105&amp;"-"&amp;G105&amp;")",""))))</f>
        <v>PvP (0-2)</v>
      </c>
      <c r="K105" s="9" t="s">
        <v>11</v>
      </c>
      <c r="L105" s="9">
        <v>1</v>
      </c>
      <c r="M105" s="9" t="str">
        <f>"M_"&amp;TEXT(I105,"000")&amp;"_A_"&amp;H105&amp;"_B_"&amp;SUM(F105:G105)</f>
        <v>M_200_A_2_B_0</v>
      </c>
      <c r="N105" s="9" t="str">
        <f>"PvP"&amp;B105&amp;"-"&amp;C105&amp;"_Duelo"&amp;D105&amp;"-"&amp;E105&amp;"_Barcos"&amp;F105&amp;"-"&amp;G105</f>
        <v>PvP0-2_Duelo0-0_Barcos0-0</v>
      </c>
    </row>
    <row r="106" spans="1:14" x14ac:dyDescent="0.3">
      <c r="A106" s="9">
        <v>104</v>
      </c>
      <c r="B106" s="5">
        <v>1</v>
      </c>
      <c r="C106" s="5">
        <v>0</v>
      </c>
      <c r="D106" s="6">
        <v>0</v>
      </c>
      <c r="E106" s="6">
        <v>0</v>
      </c>
      <c r="F106" s="10">
        <v>0</v>
      </c>
      <c r="G106" s="10">
        <v>0</v>
      </c>
      <c r="H106" s="9">
        <f>SUM(B106:G106)</f>
        <v>1</v>
      </c>
      <c r="I106" s="9">
        <f>B106*200+C106*100+D106*250+E106*100+F106*125+G106*75</f>
        <v>200</v>
      </c>
      <c r="J106" s="9" t="str">
        <f>IF(SUM(B106:G106)=0,"Sin ataques",TRIM(_xlfn.CONCAT(IF(B106+C106&gt;0,"PvP ("&amp;B106&amp;"-"&amp;C106&amp;") ",""),IF(D106+E106&gt;0,"Duelo ("&amp;D106&amp;"-"&amp;E106&amp;") ",""),IF(F106+G106&gt;0,"Barcos ("&amp;F106&amp;"-"&amp;G106&amp;")",""))))</f>
        <v>PvP (1-0)</v>
      </c>
      <c r="K106" s="9" t="s">
        <v>11</v>
      </c>
      <c r="L106" s="9">
        <v>1</v>
      </c>
      <c r="M106" s="9" t="str">
        <f>"M_"&amp;TEXT(I106,"000")&amp;"_A_"&amp;H106&amp;"_B_"&amp;SUM(F106:G106)</f>
        <v>M_200_A_1_B_0</v>
      </c>
      <c r="N106" s="9" t="str">
        <f>"PvP"&amp;B106&amp;"-"&amp;C106&amp;"_Duelo"&amp;D106&amp;"-"&amp;E106&amp;"_Barcos"&amp;F106&amp;"-"&amp;G106</f>
        <v>PvP1-0_Duelo0-0_Barcos0-0</v>
      </c>
    </row>
    <row r="107" spans="1:14" x14ac:dyDescent="0.3">
      <c r="A107" s="9">
        <v>105</v>
      </c>
      <c r="B107" s="5">
        <v>0</v>
      </c>
      <c r="C107" s="5">
        <v>1</v>
      </c>
      <c r="D107" s="6">
        <v>0</v>
      </c>
      <c r="E107" s="6">
        <v>0</v>
      </c>
      <c r="F107" s="10">
        <v>0</v>
      </c>
      <c r="G107" s="10">
        <v>1</v>
      </c>
      <c r="H107" s="9">
        <f>SUM(B107:G107)</f>
        <v>2</v>
      </c>
      <c r="I107" s="9">
        <f>B107*200+C107*100+D107*250+E107*100+F107*125+G107*75</f>
        <v>175</v>
      </c>
      <c r="J107" s="9" t="str">
        <f>IF(SUM(B107:G107)=0,"Sin ataques",TRIM(_xlfn.CONCAT(IF(B107+C107&gt;0,"PvP ("&amp;B107&amp;"-"&amp;C107&amp;") ",""),IF(D107+E107&gt;0,"Duelo ("&amp;D107&amp;"-"&amp;E107&amp;") ",""),IF(F107+G107&gt;0,"Barcos ("&amp;F107&amp;"-"&amp;G107&amp;")",""))))</f>
        <v>PvP (0-1) Barcos (0-1)</v>
      </c>
      <c r="K107" s="9" t="s">
        <v>11</v>
      </c>
      <c r="L107" s="9">
        <v>1</v>
      </c>
      <c r="M107" s="9" t="str">
        <f>"M_"&amp;TEXT(I107,"000")&amp;"_A_"&amp;H107&amp;"_B_"&amp;SUM(F107:G107)</f>
        <v>M_175_A_2_B_1</v>
      </c>
      <c r="N107" s="9" t="str">
        <f>"PvP"&amp;B107&amp;"-"&amp;C107&amp;"_Duelo"&amp;D107&amp;"-"&amp;E107&amp;"_Barcos"&amp;F107&amp;"-"&amp;G107</f>
        <v>PvP0-1_Duelo0-0_Barcos0-1</v>
      </c>
    </row>
    <row r="108" spans="1:14" x14ac:dyDescent="0.3">
      <c r="A108" s="9">
        <v>106</v>
      </c>
      <c r="B108" s="5">
        <v>0</v>
      </c>
      <c r="C108" s="5">
        <v>0</v>
      </c>
      <c r="D108" s="6">
        <v>0</v>
      </c>
      <c r="E108" s="6">
        <v>0</v>
      </c>
      <c r="F108" s="10">
        <v>0</v>
      </c>
      <c r="G108" s="10">
        <v>2</v>
      </c>
      <c r="H108" s="9">
        <f>SUM(B108:G108)</f>
        <v>2</v>
      </c>
      <c r="I108" s="9">
        <f>B108*200+C108*100+D108*250+E108*100+F108*125+G108*75</f>
        <v>150</v>
      </c>
      <c r="J108" s="9" t="str">
        <f>IF(SUM(B108:G108)=0,"Sin ataques",TRIM(_xlfn.CONCAT(IF(B108+C108&gt;0,"PvP ("&amp;B108&amp;"-"&amp;C108&amp;") ",""),IF(D108+E108&gt;0,"Duelo ("&amp;D108&amp;"-"&amp;E108&amp;") ",""),IF(F108+G108&gt;0,"Barcos ("&amp;F108&amp;"-"&amp;G108&amp;")",""))))</f>
        <v>Barcos (0-2)</v>
      </c>
      <c r="K108" s="9" t="s">
        <v>11</v>
      </c>
      <c r="L108" s="9">
        <v>1</v>
      </c>
      <c r="M108" s="9" t="str">
        <f>"M_"&amp;TEXT(I108,"000")&amp;"_A_"&amp;H108&amp;"_B_"&amp;SUM(F108:G108)</f>
        <v>M_150_A_2_B_2</v>
      </c>
      <c r="N108" s="9" t="str">
        <f>"PvP"&amp;B108&amp;"-"&amp;C108&amp;"_Duelo"&amp;D108&amp;"-"&amp;E108&amp;"_Barcos"&amp;F108&amp;"-"&amp;G108</f>
        <v>PvP0-0_Duelo0-0_Barcos0-2</v>
      </c>
    </row>
    <row r="109" spans="1:14" x14ac:dyDescent="0.3">
      <c r="A109" s="9">
        <v>107</v>
      </c>
      <c r="B109" s="5">
        <v>0</v>
      </c>
      <c r="C109" s="5">
        <v>0</v>
      </c>
      <c r="D109" s="6">
        <v>0</v>
      </c>
      <c r="E109" s="6">
        <v>0</v>
      </c>
      <c r="F109" s="10">
        <v>1</v>
      </c>
      <c r="G109" s="10">
        <v>0</v>
      </c>
      <c r="H109" s="9">
        <f>SUM(B109:G109)</f>
        <v>1</v>
      </c>
      <c r="I109" s="9">
        <f>B109*200+C109*100+D109*250+E109*100+F109*125+G109*75</f>
        <v>125</v>
      </c>
      <c r="J109" s="9" t="str">
        <f>IF(SUM(B109:G109)=0,"Sin ataques",TRIM(_xlfn.CONCAT(IF(B109+C109&gt;0,"PvP ("&amp;B109&amp;"-"&amp;C109&amp;") ",""),IF(D109+E109&gt;0,"Duelo ("&amp;D109&amp;"-"&amp;E109&amp;") ",""),IF(F109+G109&gt;0,"Barcos ("&amp;F109&amp;"-"&amp;G109&amp;")",""))))</f>
        <v>Barcos (1-0)</v>
      </c>
      <c r="K109" s="9" t="s">
        <v>11</v>
      </c>
      <c r="L109" s="9">
        <v>1</v>
      </c>
      <c r="M109" s="9" t="str">
        <f>"M_"&amp;TEXT(I109,"000")&amp;"_A_"&amp;H109&amp;"_B_"&amp;SUM(F109:G109)</f>
        <v>M_125_A_1_B_1</v>
      </c>
      <c r="N109" s="9" t="str">
        <f>"PvP"&amp;B109&amp;"-"&amp;C109&amp;"_Duelo"&amp;D109&amp;"-"&amp;E109&amp;"_Barcos"&amp;F109&amp;"-"&amp;G109</f>
        <v>PvP0-0_Duelo0-0_Barcos1-0</v>
      </c>
    </row>
    <row r="110" spans="1:14" x14ac:dyDescent="0.3">
      <c r="A110" s="9">
        <v>108</v>
      </c>
      <c r="B110" s="5">
        <v>0</v>
      </c>
      <c r="C110" s="5">
        <v>1</v>
      </c>
      <c r="D110" s="6">
        <v>0</v>
      </c>
      <c r="E110" s="6">
        <v>0</v>
      </c>
      <c r="F110" s="10">
        <v>0</v>
      </c>
      <c r="G110" s="10">
        <v>0</v>
      </c>
      <c r="H110" s="9">
        <f>SUM(B110:G110)</f>
        <v>1</v>
      </c>
      <c r="I110" s="9">
        <f>B110*200+C110*100+D110*250+E110*100+F110*125+G110*75</f>
        <v>100</v>
      </c>
      <c r="J110" s="9" t="str">
        <f>IF(SUM(B110:G110)=0,"Sin ataques",TRIM(_xlfn.CONCAT(IF(B110+C110&gt;0,"PvP ("&amp;B110&amp;"-"&amp;C110&amp;") ",""),IF(D110+E110&gt;0,"Duelo ("&amp;D110&amp;"-"&amp;E110&amp;") ",""),IF(F110+G110&gt;0,"Barcos ("&amp;F110&amp;"-"&amp;G110&amp;")",""))))</f>
        <v>PvP (0-1)</v>
      </c>
      <c r="K110" s="9" t="s">
        <v>11</v>
      </c>
      <c r="L110" s="9">
        <v>1</v>
      </c>
      <c r="M110" s="9" t="str">
        <f>"M_"&amp;TEXT(I110,"000")&amp;"_A_"&amp;H110&amp;"_B_"&amp;SUM(F110:G110)</f>
        <v>M_100_A_1_B_0</v>
      </c>
      <c r="N110" s="9" t="str">
        <f>"PvP"&amp;B110&amp;"-"&amp;C110&amp;"_Duelo"&amp;D110&amp;"-"&amp;E110&amp;"_Barcos"&amp;F110&amp;"-"&amp;G110</f>
        <v>PvP0-1_Duelo0-0_Barcos0-0</v>
      </c>
    </row>
    <row r="111" spans="1:14" x14ac:dyDescent="0.3">
      <c r="A111" s="9">
        <v>109</v>
      </c>
      <c r="B111" s="5">
        <v>0</v>
      </c>
      <c r="C111" s="5">
        <v>0</v>
      </c>
      <c r="D111" s="6">
        <v>0</v>
      </c>
      <c r="E111" s="6">
        <v>0</v>
      </c>
      <c r="F111" s="10">
        <v>0</v>
      </c>
      <c r="G111" s="10">
        <v>1</v>
      </c>
      <c r="H111" s="9">
        <f>SUM(B111:G111)</f>
        <v>1</v>
      </c>
      <c r="I111" s="9">
        <f>B111*200+C111*100+D111*250+E111*100+F111*125+G111*75</f>
        <v>75</v>
      </c>
      <c r="J111" s="9" t="str">
        <f>IF(SUM(B111:G111)=0,"Sin ataques",TRIM(_xlfn.CONCAT(IF(B111+C111&gt;0,"PvP ("&amp;B111&amp;"-"&amp;C111&amp;") ",""),IF(D111+E111&gt;0,"Duelo ("&amp;D111&amp;"-"&amp;E111&amp;") ",""),IF(F111+G111&gt;0,"Barcos ("&amp;F111&amp;"-"&amp;G111&amp;")",""))))</f>
        <v>Barcos (0-1)</v>
      </c>
      <c r="K111" s="9" t="s">
        <v>11</v>
      </c>
      <c r="L111" s="9">
        <v>1</v>
      </c>
      <c r="M111" s="9" t="str">
        <f>"M_"&amp;TEXT(I111,"000")&amp;"_A_"&amp;H111&amp;"_B_"&amp;SUM(F111:G111)</f>
        <v>M_075_A_1_B_1</v>
      </c>
      <c r="N111" s="9" t="str">
        <f>"PvP"&amp;B111&amp;"-"&amp;C111&amp;"_Duelo"&amp;D111&amp;"-"&amp;E111&amp;"_Barcos"&amp;F111&amp;"-"&amp;G111</f>
        <v>PvP0-0_Duelo0-0_Barcos0-1</v>
      </c>
    </row>
    <row r="112" spans="1:14" x14ac:dyDescent="0.3">
      <c r="A112" s="9">
        <v>110</v>
      </c>
      <c r="B112" s="5">
        <v>0</v>
      </c>
      <c r="C112" s="5">
        <v>0</v>
      </c>
      <c r="D112" s="6">
        <v>0</v>
      </c>
      <c r="E112" s="6">
        <v>0</v>
      </c>
      <c r="F112" s="10">
        <v>0</v>
      </c>
      <c r="G112" s="10">
        <v>0</v>
      </c>
      <c r="H112" s="9">
        <f>SUM(B112:G112)</f>
        <v>0</v>
      </c>
      <c r="I112" s="9">
        <f>B112*200+C112*100+D112*250+E112*100+F112*125+G112*75</f>
        <v>0</v>
      </c>
      <c r="J112" s="9" t="str">
        <f>IF(SUM(B112:G112)=0,"Sin ataques",TRIM(_xlfn.CONCAT(IF(B112+C112&gt;0,"PvP ("&amp;B112&amp;"-"&amp;C112&amp;") ",""),IF(D112+E112&gt;0,"Duelo ("&amp;D112&amp;"-"&amp;E112&amp;") ",""),IF(F112+G112&gt;0,"Barcos ("&amp;F112&amp;"-"&amp;G112&amp;")",""))))</f>
        <v>Sin ataques</v>
      </c>
      <c r="K112" s="9" t="s">
        <v>11</v>
      </c>
      <c r="L112" s="9">
        <v>1</v>
      </c>
      <c r="M112" s="9" t="str">
        <f>"M_"&amp;TEXT(I112,"000")&amp;"_A_"&amp;H112&amp;"_B_"&amp;SUM(F112:G112)</f>
        <v>M_000_A_0_B_0</v>
      </c>
      <c r="N112" s="9" t="str">
        <f>"PvP"&amp;B112&amp;"-"&amp;C112&amp;"_Duelo"&amp;D112&amp;"-"&amp;E112&amp;"_Barcos"&amp;F112&amp;"-"&amp;G112</f>
        <v>PvP0-0_Duelo0-0_Barcos0-0</v>
      </c>
    </row>
  </sheetData>
  <sortState xmlns:xlrd2="http://schemas.microsoft.com/office/spreadsheetml/2017/richdata2" ref="A3:N112">
    <sortCondition descending="1" ref="M3:M112"/>
    <sortCondition descending="1" ref="I3:I112"/>
    <sortCondition descending="1" ref="H3:H112"/>
    <sortCondition descending="1" ref="D3:D112"/>
    <sortCondition descending="1" ref="E3:E112"/>
    <sortCondition descending="1" ref="B3:B112"/>
    <sortCondition descending="1" ref="C3:C112"/>
    <sortCondition descending="1" ref="F3:F112"/>
    <sortCondition descending="1" ref="G3:G112"/>
  </sortState>
  <mergeCells count="11">
    <mergeCell ref="M1:M2"/>
    <mergeCell ref="L1:L2"/>
    <mergeCell ref="J1:J2"/>
    <mergeCell ref="K1:K2"/>
    <mergeCell ref="A1:A2"/>
    <mergeCell ref="B1:C1"/>
    <mergeCell ref="D1:E1"/>
    <mergeCell ref="F1:G1"/>
    <mergeCell ref="H1:H2"/>
    <mergeCell ref="I1:I2"/>
    <mergeCell ref="N1:N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C8669-F08C-4986-84FB-A4B0C9EC4E47}">
  <dimension ref="A1:H78"/>
  <sheetViews>
    <sheetView workbookViewId="0">
      <selection activeCell="M16" sqref="M16"/>
    </sheetView>
  </sheetViews>
  <sheetFormatPr baseColWidth="10" defaultRowHeight="14.4" x14ac:dyDescent="0.3"/>
  <cols>
    <col min="1" max="1" width="3.21875" style="1" bestFit="1" customWidth="1"/>
    <col min="2" max="2" width="11.33203125" style="1" bestFit="1" customWidth="1"/>
    <col min="3" max="3" width="8" style="1" bestFit="1" customWidth="1"/>
    <col min="4" max="4" width="6.77734375" style="1" bestFit="1" customWidth="1"/>
    <col min="5" max="5" width="73" style="1" bestFit="1" customWidth="1"/>
    <col min="6" max="6" width="7.77734375" style="1" bestFit="1" customWidth="1"/>
    <col min="7" max="7" width="9.109375" style="1" bestFit="1" customWidth="1"/>
    <col min="8" max="8" width="13.77734375" style="1" bestFit="1" customWidth="1"/>
    <col min="9" max="16384" width="11.5546875" style="1"/>
  </cols>
  <sheetData>
    <row r="1" spans="1:8" x14ac:dyDescent="0.3">
      <c r="A1" s="4" t="s">
        <v>0</v>
      </c>
      <c r="B1" s="4" t="s">
        <v>3</v>
      </c>
      <c r="C1" s="11" t="s">
        <v>1</v>
      </c>
      <c r="D1" s="11" t="s">
        <v>2</v>
      </c>
      <c r="E1" s="4" t="s">
        <v>7</v>
      </c>
      <c r="F1" s="4" t="s">
        <v>8</v>
      </c>
      <c r="G1" s="4" t="s">
        <v>6</v>
      </c>
      <c r="H1" s="4" t="s">
        <v>12</v>
      </c>
    </row>
    <row r="2" spans="1:8" x14ac:dyDescent="0.3">
      <c r="A2" s="2">
        <v>1</v>
      </c>
      <c r="B2" s="2">
        <f>VALUE(MID(H2,3,FIND("_A_",H2)-3))</f>
        <v>900</v>
      </c>
      <c r="C2" s="2">
        <f>VALUE(MID(H2,FIND("_A_",H2)+3,FIND("_B_",H2)-FIND("_A_",H2)-3))</f>
        <v>4</v>
      </c>
      <c r="D2" s="2">
        <f>VALUE(MID(H2,FIND("_B_",H2)+3,10))</f>
        <v>0</v>
      </c>
      <c r="E2" s="2" cm="1" t="str">
        <f t="array" ref="E2">_xlfn.TEXTJOIN(" | ", TRUE, _xlfn._xlws.FILTER(Diario_D!$J$2:$J$1000, Diario_D!$M$2:$M$1000=H2, ""))</f>
        <v>PvP (2-0) Duelo (2-0)</v>
      </c>
      <c r="F2" s="2" t="s">
        <v>11</v>
      </c>
      <c r="G2" s="2">
        <f>COUNTIF(Diario_D!$M$3:$M$112,H2)</f>
        <v>1</v>
      </c>
      <c r="H2" s="2" t="str" cm="1">
        <f t="array" ref="H2:H78">_xlfn.UNIQUE(Diario_D!M3:M112)</f>
        <v>M_900_A_4_B_0</v>
      </c>
    </row>
    <row r="3" spans="1:8" x14ac:dyDescent="0.3">
      <c r="A3" s="2">
        <v>2</v>
      </c>
      <c r="B3" s="2">
        <f>VALUE(MID(H3,3,FIND("_A_",H3)-3))</f>
        <v>825</v>
      </c>
      <c r="C3" s="2">
        <f>VALUE(MID(H3,FIND("_A_",H3)+3,FIND("_B_",H3)-FIND("_A_",H3)-3))</f>
        <v>4</v>
      </c>
      <c r="D3" s="2">
        <f>VALUE(MID(H3,FIND("_B_",H3)+3,10))</f>
        <v>1</v>
      </c>
      <c r="E3" s="2" cm="1" t="str">
        <f t="array" ref="E3">_xlfn.TEXTJOIN(" | ", TRUE, _xlfn._xlws.FILTER(Diario_D!$J$2:$J$1000, Diario_D!$M$2:$M$1000=H3, ""))</f>
        <v>PvP (1-0) Duelo (2-0) Barcos (1-0)</v>
      </c>
      <c r="F3" s="2" t="s">
        <v>11</v>
      </c>
      <c r="G3" s="2">
        <f>COUNTIF(Diario_D!$M$3:$M$112,H3)</f>
        <v>1</v>
      </c>
      <c r="H3" s="2" t="str">
        <v>M_825_A_4_B_1</v>
      </c>
    </row>
    <row r="4" spans="1:8" x14ac:dyDescent="0.3">
      <c r="A4" s="2">
        <v>3</v>
      </c>
      <c r="B4" s="2">
        <f>VALUE(MID(H4,3,FIND("_A_",H4)-3))</f>
        <v>800</v>
      </c>
      <c r="C4" s="2">
        <f>VALUE(MID(H4,FIND("_A_",H4)+3,FIND("_B_",H4)-FIND("_A_",H4)-3))</f>
        <v>4</v>
      </c>
      <c r="D4" s="2">
        <f>VALUE(MID(H4,FIND("_B_",H4)+3,10))</f>
        <v>0</v>
      </c>
      <c r="E4" s="2" cm="1" t="str">
        <f t="array" ref="E4">_xlfn.TEXTJOIN(" | ", TRUE, _xlfn._xlws.FILTER(Diario_D!$J$2:$J$1000, Diario_D!$M$2:$M$1000=H4, ""))</f>
        <v>PvP (1-0) Duelo (2-1) | PvP (1-1) Duelo (2-0) | PvP (4-0)</v>
      </c>
      <c r="F4" s="2" t="s">
        <v>11</v>
      </c>
      <c r="G4" s="2">
        <f>COUNTIF(Diario_D!$M$3:$M$112,H4)</f>
        <v>3</v>
      </c>
      <c r="H4" s="2" t="str">
        <v>M_800_A_4_B_0</v>
      </c>
    </row>
    <row r="5" spans="1:8" x14ac:dyDescent="0.3">
      <c r="A5" s="2">
        <v>4</v>
      </c>
      <c r="B5" s="2">
        <f>VALUE(MID(H5,3,FIND("_A_",H5)-3))</f>
        <v>775</v>
      </c>
      <c r="C5" s="2">
        <f>VALUE(MID(H5,FIND("_A_",H5)+3,FIND("_B_",H5)-FIND("_A_",H5)-3))</f>
        <v>4</v>
      </c>
      <c r="D5" s="2">
        <f>VALUE(MID(H5,FIND("_B_",H5)+3,10))</f>
        <v>1</v>
      </c>
      <c r="E5" s="2" cm="1" t="str">
        <f t="array" ref="E5">_xlfn.TEXTJOIN(" | ", TRUE, _xlfn._xlws.FILTER(Diario_D!$J$2:$J$1000, Diario_D!$M$2:$M$1000=H5, ""))</f>
        <v>PvP (1-0) Duelo (2-0) Barcos (0-1)</v>
      </c>
      <c r="F5" s="2" t="s">
        <v>11</v>
      </c>
      <c r="G5" s="2">
        <f>COUNTIF(Diario_D!$M$3:$M$112,H5)</f>
        <v>1</v>
      </c>
      <c r="H5" s="2" t="str">
        <v>M_775_A_4_B_1</v>
      </c>
    </row>
    <row r="6" spans="1:8" x14ac:dyDescent="0.3">
      <c r="A6" s="2">
        <v>5</v>
      </c>
      <c r="B6" s="2">
        <f>VALUE(MID(H6,3,FIND("_A_",H6)-3))</f>
        <v>750</v>
      </c>
      <c r="C6" s="2">
        <f>VALUE(MID(H6,FIND("_A_",H6)+3,FIND("_B_",H6)-FIND("_A_",H6)-3))</f>
        <v>4</v>
      </c>
      <c r="D6" s="2">
        <f>VALUE(MID(H6,FIND("_B_",H6)+3,10))</f>
        <v>2</v>
      </c>
      <c r="E6" s="2" cm="1" t="str">
        <f t="array" ref="E6">_xlfn.TEXTJOIN(" | ", TRUE, _xlfn._xlws.FILTER(Diario_D!$J$2:$J$1000, Diario_D!$M$2:$M$1000=H6, ""))</f>
        <v>Duelo (2-0) Barcos (2-0)</v>
      </c>
      <c r="F6" s="2" t="s">
        <v>11</v>
      </c>
      <c r="G6" s="2">
        <f>COUNTIF(Diario_D!$M$3:$M$112,H6)</f>
        <v>1</v>
      </c>
      <c r="H6" s="2" t="str">
        <v>M_750_A_4_B_2</v>
      </c>
    </row>
    <row r="7" spans="1:8" x14ac:dyDescent="0.3">
      <c r="A7" s="2">
        <v>6</v>
      </c>
      <c r="B7" s="2">
        <f>VALUE(MID(H7,3,FIND("_A_",H7)-3))</f>
        <v>725</v>
      </c>
      <c r="C7" s="2">
        <f>VALUE(MID(H7,FIND("_A_",H7)+3,FIND("_B_",H7)-FIND("_A_",H7)-3))</f>
        <v>4</v>
      </c>
      <c r="D7" s="2">
        <f>VALUE(MID(H7,FIND("_B_",H7)+3,10))</f>
        <v>1</v>
      </c>
      <c r="E7" s="2" cm="1" t="str">
        <f t="array" ref="E7">_xlfn.TEXTJOIN(" | ", TRUE, _xlfn._xlws.FILTER(Diario_D!$J$2:$J$1000, Diario_D!$M$2:$M$1000=H7, ""))</f>
        <v>Duelo (2-1) Barcos (1-0) | PvP (0-1) Duelo (2-0) Barcos (1-0) | PvP (3-0) Barcos (1-0)</v>
      </c>
      <c r="F7" s="2" t="s">
        <v>11</v>
      </c>
      <c r="G7" s="2">
        <f>COUNTIF(Diario_D!$M$3:$M$112,H7)</f>
        <v>3</v>
      </c>
      <c r="H7" s="2" t="str">
        <v>M_725_A_4_B_1</v>
      </c>
    </row>
    <row r="8" spans="1:8" x14ac:dyDescent="0.3">
      <c r="A8" s="2">
        <v>7</v>
      </c>
      <c r="B8" s="2">
        <f>VALUE(MID(H8,3,FIND("_A_",H8)-3))</f>
        <v>700</v>
      </c>
      <c r="C8" s="2">
        <f>VALUE(MID(H8,FIND("_A_",H8)+3,FIND("_B_",H8)-FIND("_A_",H8)-3))</f>
        <v>4</v>
      </c>
      <c r="D8" s="2">
        <f>VALUE(MID(H8,FIND("_B_",H8)+3,10))</f>
        <v>2</v>
      </c>
      <c r="E8" s="2" cm="1" t="str">
        <f t="array" ref="E8">_xlfn.TEXTJOIN(" | ", TRUE, _xlfn._xlws.FILTER(Diario_D!$J$2:$J$1000, Diario_D!$M$2:$M$1000=H8, ""))</f>
        <v>Duelo (2-0) Barcos (1-1)</v>
      </c>
      <c r="F8" s="2" t="s">
        <v>11</v>
      </c>
      <c r="G8" s="2">
        <f>COUNTIF(Diario_D!$M$3:$M$112,H8)</f>
        <v>1</v>
      </c>
      <c r="H8" s="2" t="str">
        <v>M_700_A_4_B_2</v>
      </c>
    </row>
    <row r="9" spans="1:8" x14ac:dyDescent="0.3">
      <c r="A9" s="2">
        <v>8</v>
      </c>
      <c r="B9" s="2">
        <f>VALUE(MID(H9,3,FIND("_A_",H9)-3))</f>
        <v>700</v>
      </c>
      <c r="C9" s="2">
        <f>VALUE(MID(H9,FIND("_A_",H9)+3,FIND("_B_",H9)-FIND("_A_",H9)-3))</f>
        <v>4</v>
      </c>
      <c r="D9" s="2">
        <f>VALUE(MID(H9,FIND("_B_",H9)+3,10))</f>
        <v>0</v>
      </c>
      <c r="E9" s="2" cm="1" t="str">
        <f t="array" ref="E9">_xlfn.TEXTJOIN(" | ", TRUE, _xlfn._xlws.FILTER(Diario_D!$J$2:$J$1000, Diario_D!$M$2:$M$1000=H9, ""))</f>
        <v>PvP (0-1) Duelo (2-1) | PvP (0-2) Duelo (2-0) | PvP (3-1)</v>
      </c>
      <c r="F9" s="2" t="s">
        <v>11</v>
      </c>
      <c r="G9" s="2">
        <f>COUNTIF(Diario_D!$M$3:$M$112,H9)</f>
        <v>3</v>
      </c>
      <c r="H9" s="2" t="str">
        <v>M_700_A_4_B_0</v>
      </c>
    </row>
    <row r="10" spans="1:8" x14ac:dyDescent="0.3">
      <c r="A10" s="2">
        <v>9</v>
      </c>
      <c r="B10" s="2">
        <f>VALUE(MID(H10,3,FIND("_A_",H10)-3))</f>
        <v>700</v>
      </c>
      <c r="C10" s="2">
        <f>VALUE(MID(H10,FIND("_A_",H10)+3,FIND("_B_",H10)-FIND("_A_",H10)-3))</f>
        <v>3</v>
      </c>
      <c r="D10" s="2">
        <f>VALUE(MID(H10,FIND("_B_",H10)+3,10))</f>
        <v>0</v>
      </c>
      <c r="E10" s="2" cm="1" t="str">
        <f t="array" ref="E10">_xlfn.TEXTJOIN(" | ", TRUE, _xlfn._xlws.FILTER(Diario_D!$J$2:$J$1000, Diario_D!$M$2:$M$1000=H10, ""))</f>
        <v>PvP (1-0) Duelo (2-0)</v>
      </c>
      <c r="F10" s="2" t="s">
        <v>11</v>
      </c>
      <c r="G10" s="2">
        <f>COUNTIF(Diario_D!$M$3:$M$112,H10)</f>
        <v>1</v>
      </c>
      <c r="H10" s="2" t="str">
        <v>M_700_A_3_B_0</v>
      </c>
    </row>
    <row r="11" spans="1:8" x14ac:dyDescent="0.3">
      <c r="A11" s="2">
        <v>10</v>
      </c>
      <c r="B11" s="2">
        <f>VALUE(MID(H11,3,FIND("_A_",H11)-3))</f>
        <v>675</v>
      </c>
      <c r="C11" s="2">
        <f>VALUE(MID(H11,FIND("_A_",H11)+3,FIND("_B_",H11)-FIND("_A_",H11)-3))</f>
        <v>4</v>
      </c>
      <c r="D11" s="2">
        <f>VALUE(MID(H11,FIND("_B_",H11)+3,10))</f>
        <v>1</v>
      </c>
      <c r="E11" s="2" cm="1" t="str">
        <f t="array" ref="E11">_xlfn.TEXTJOIN(" | ", TRUE, _xlfn._xlws.FILTER(Diario_D!$J$2:$J$1000, Diario_D!$M$2:$M$1000=H11, ""))</f>
        <v>Duelo (2-1) Barcos (0-1) | PvP (0-1) Duelo (2-0) Barcos (0-1) | PvP (3-0) Barcos (0-1)</v>
      </c>
      <c r="F11" s="2" t="s">
        <v>11</v>
      </c>
      <c r="G11" s="2">
        <f>COUNTIF(Diario_D!$M$3:$M$112,H11)</f>
        <v>3</v>
      </c>
      <c r="H11" s="2" t="str">
        <v>M_675_A_4_B_1</v>
      </c>
    </row>
    <row r="12" spans="1:8" x14ac:dyDescent="0.3">
      <c r="A12" s="2">
        <v>11</v>
      </c>
      <c r="B12" s="2">
        <f>VALUE(MID(H12,3,FIND("_A_",H12)-3))</f>
        <v>650</v>
      </c>
      <c r="C12" s="2">
        <f>VALUE(MID(H12,FIND("_A_",H12)+3,FIND("_B_",H12)-FIND("_A_",H12)-3))</f>
        <v>4</v>
      </c>
      <c r="D12" s="2">
        <f>VALUE(MID(H12,FIND("_B_",H12)+3,10))</f>
        <v>2</v>
      </c>
      <c r="E12" s="2" cm="1" t="str">
        <f t="array" ref="E12">_xlfn.TEXTJOIN(" | ", TRUE, _xlfn._xlws.FILTER(Diario_D!$J$2:$J$1000, Diario_D!$M$2:$M$1000=H12, ""))</f>
        <v>Duelo (2-0) Barcos (0-2) | PvP (2-0) Barcos (2-0)</v>
      </c>
      <c r="F12" s="2" t="s">
        <v>11</v>
      </c>
      <c r="G12" s="2">
        <f>COUNTIF(Diario_D!$M$3:$M$112,H12)</f>
        <v>2</v>
      </c>
      <c r="H12" s="2" t="str">
        <v>M_650_A_4_B_2</v>
      </c>
    </row>
    <row r="13" spans="1:8" x14ac:dyDescent="0.3">
      <c r="A13" s="2">
        <v>12</v>
      </c>
      <c r="B13" s="2">
        <f>VALUE(MID(H13,3,FIND("_A_",H13)-3))</f>
        <v>650</v>
      </c>
      <c r="C13" s="2">
        <f>VALUE(MID(H13,FIND("_A_",H13)+3,FIND("_B_",H13)-FIND("_A_",H13)-3))</f>
        <v>4</v>
      </c>
      <c r="D13" s="2">
        <f>VALUE(MID(H13,FIND("_B_",H13)+3,10))</f>
        <v>0</v>
      </c>
      <c r="E13" s="2" cm="1" t="str">
        <f t="array" ref="E13">_xlfn.TEXTJOIN(" | ", TRUE, _xlfn._xlws.FILTER(Diario_D!$J$2:$J$1000, Diario_D!$M$2:$M$1000=H13, ""))</f>
        <v>PvP (1-0) Duelo (1-2)</v>
      </c>
      <c r="F13" s="2" t="s">
        <v>11</v>
      </c>
      <c r="G13" s="2">
        <f>COUNTIF(Diario_D!$M$3:$M$112,H13)</f>
        <v>1</v>
      </c>
      <c r="H13" s="2" t="str">
        <v>M_650_A_4_B_0</v>
      </c>
    </row>
    <row r="14" spans="1:8" x14ac:dyDescent="0.3">
      <c r="A14" s="2">
        <v>13</v>
      </c>
      <c r="B14" s="2">
        <f>VALUE(MID(H14,3,FIND("_A_",H14)-3))</f>
        <v>625</v>
      </c>
      <c r="C14" s="2">
        <f>VALUE(MID(H14,FIND("_A_",H14)+3,FIND("_B_",H14)-FIND("_A_",H14)-3))</f>
        <v>4</v>
      </c>
      <c r="D14" s="2">
        <f>VALUE(MID(H14,FIND("_B_",H14)+3,10))</f>
        <v>1</v>
      </c>
      <c r="E14" s="2" cm="1" t="str">
        <f t="array" ref="E14">_xlfn.TEXTJOIN(" | ", TRUE, _xlfn._xlws.FILTER(Diario_D!$J$2:$J$1000, Diario_D!$M$2:$M$1000=H14, ""))</f>
        <v>PvP (2-1) Barcos (1-0)</v>
      </c>
      <c r="F14" s="2" t="s">
        <v>11</v>
      </c>
      <c r="G14" s="2">
        <f>COUNTIF(Diario_D!$M$3:$M$112,H14)</f>
        <v>1</v>
      </c>
      <c r="H14" s="2" t="str">
        <v>M_625_A_4_B_1</v>
      </c>
    </row>
    <row r="15" spans="1:8" x14ac:dyDescent="0.3">
      <c r="A15" s="2">
        <v>14</v>
      </c>
      <c r="B15" s="2">
        <f>VALUE(MID(H15,3,FIND("_A_",H15)-3))</f>
        <v>625</v>
      </c>
      <c r="C15" s="2">
        <f>VALUE(MID(H15,FIND("_A_",H15)+3,FIND("_B_",H15)-FIND("_A_",H15)-3))</f>
        <v>3</v>
      </c>
      <c r="D15" s="2">
        <f>VALUE(MID(H15,FIND("_B_",H15)+3,10))</f>
        <v>1</v>
      </c>
      <c r="E15" s="2" cm="1" t="str">
        <f t="array" ref="E15">_xlfn.TEXTJOIN(" | ", TRUE, _xlfn._xlws.FILTER(Diario_D!$J$2:$J$1000, Diario_D!$M$2:$M$1000=H15, ""))</f>
        <v>Duelo (2-0) Barcos (1-0)</v>
      </c>
      <c r="F15" s="2" t="s">
        <v>11</v>
      </c>
      <c r="G15" s="2">
        <f>COUNTIF(Diario_D!$M$3:$M$112,H15)</f>
        <v>1</v>
      </c>
      <c r="H15" s="2" t="str">
        <v>M_625_A_3_B_1</v>
      </c>
    </row>
    <row r="16" spans="1:8" x14ac:dyDescent="0.3">
      <c r="A16" s="2">
        <v>15</v>
      </c>
      <c r="B16" s="2">
        <f>VALUE(MID(H16,3,FIND("_A_",H16)-3))</f>
        <v>600</v>
      </c>
      <c r="C16" s="2">
        <f>VALUE(MID(H16,FIND("_A_",H16)+3,FIND("_B_",H16)-FIND("_A_",H16)-3))</f>
        <v>4</v>
      </c>
      <c r="D16" s="2">
        <f>VALUE(MID(H16,FIND("_B_",H16)+3,10))</f>
        <v>2</v>
      </c>
      <c r="E16" s="2" cm="1" t="str">
        <f t="array" ref="E16">_xlfn.TEXTJOIN(" | ", TRUE, _xlfn._xlws.FILTER(Diario_D!$J$2:$J$1000, Diario_D!$M$2:$M$1000=H16, ""))</f>
        <v>PvP (2-0) Barcos (1-1)</v>
      </c>
      <c r="F16" s="2" t="s">
        <v>11</v>
      </c>
      <c r="G16" s="2">
        <f>COUNTIF(Diario_D!$M$3:$M$112,H16)</f>
        <v>1</v>
      </c>
      <c r="H16" s="2" t="str">
        <v>M_600_A_4_B_2</v>
      </c>
    </row>
    <row r="17" spans="1:8" x14ac:dyDescent="0.3">
      <c r="A17" s="2">
        <v>16</v>
      </c>
      <c r="B17" s="2">
        <f>VALUE(MID(H17,3,FIND("_A_",H17)-3))</f>
        <v>600</v>
      </c>
      <c r="C17" s="2">
        <f>VALUE(MID(H17,FIND("_A_",H17)+3,FIND("_B_",H17)-FIND("_A_",H17)-3))</f>
        <v>4</v>
      </c>
      <c r="D17" s="2">
        <f>VALUE(MID(H17,FIND("_B_",H17)+3,10))</f>
        <v>0</v>
      </c>
      <c r="E17" s="2" cm="1" t="str">
        <f t="array" ref="E17">_xlfn.TEXTJOIN(" | ", TRUE, _xlfn._xlws.FILTER(Diario_D!$J$2:$J$1000, Diario_D!$M$2:$M$1000=H17, ""))</f>
        <v>PvP (2-0) Duelo (0-2) | PvP (2-2)</v>
      </c>
      <c r="F17" s="2" t="s">
        <v>11</v>
      </c>
      <c r="G17" s="2">
        <f>COUNTIF(Diario_D!$M$3:$M$112,H17)</f>
        <v>2</v>
      </c>
      <c r="H17" s="2" t="str">
        <v>M_600_A_4_B_0</v>
      </c>
    </row>
    <row r="18" spans="1:8" x14ac:dyDescent="0.3">
      <c r="A18" s="2">
        <v>17</v>
      </c>
      <c r="B18" s="2">
        <f>VALUE(MID(H18,3,FIND("_A_",H18)-3))</f>
        <v>600</v>
      </c>
      <c r="C18" s="2">
        <f>VALUE(MID(H18,FIND("_A_",H18)+3,FIND("_B_",H18)-FIND("_A_",H18)-3))</f>
        <v>3</v>
      </c>
      <c r="D18" s="2">
        <f>VALUE(MID(H18,FIND("_B_",H18)+3,10))</f>
        <v>0</v>
      </c>
      <c r="E18" s="2" cm="1" t="str">
        <f t="array" ref="E18">_xlfn.TEXTJOIN(" | ", TRUE, _xlfn._xlws.FILTER(Diario_D!$J$2:$J$1000, Diario_D!$M$2:$M$1000=H18, ""))</f>
        <v>Duelo (2-1) | PvP (0-1) Duelo (2-0) | PvP (3-0)</v>
      </c>
      <c r="F18" s="2" t="s">
        <v>11</v>
      </c>
      <c r="G18" s="2">
        <f>COUNTIF(Diario_D!$M$3:$M$112,H18)</f>
        <v>3</v>
      </c>
      <c r="H18" s="2" t="str">
        <v>M_600_A_3_B_0</v>
      </c>
    </row>
    <row r="19" spans="1:8" x14ac:dyDescent="0.3">
      <c r="A19" s="2">
        <v>18</v>
      </c>
      <c r="B19" s="2">
        <f>VALUE(MID(H19,3,FIND("_A_",H19)-3))</f>
        <v>575</v>
      </c>
      <c r="C19" s="2">
        <f>VALUE(MID(H19,FIND("_A_",H19)+3,FIND("_B_",H19)-FIND("_A_",H19)-3))</f>
        <v>4</v>
      </c>
      <c r="D19" s="2">
        <f>VALUE(MID(H19,FIND("_B_",H19)+3,10))</f>
        <v>3</v>
      </c>
      <c r="E19" s="2" cm="1" t="str">
        <f t="array" ref="E19">_xlfn.TEXTJOIN(" | ", TRUE, _xlfn._xlws.FILTER(Diario_D!$J$2:$J$1000, Diario_D!$M$2:$M$1000=H19, ""))</f>
        <v>PvP (1-0) Barcos (3-0)</v>
      </c>
      <c r="F19" s="2" t="s">
        <v>11</v>
      </c>
      <c r="G19" s="2">
        <f>COUNTIF(Diario_D!$M$3:$M$112,H19)</f>
        <v>1</v>
      </c>
      <c r="H19" s="2" t="str">
        <v>M_575_A_4_B_3</v>
      </c>
    </row>
    <row r="20" spans="1:8" x14ac:dyDescent="0.3">
      <c r="A20" s="2">
        <v>19</v>
      </c>
      <c r="B20" s="2">
        <f>VALUE(MID(H20,3,FIND("_A_",H20)-3))</f>
        <v>575</v>
      </c>
      <c r="C20" s="2">
        <f>VALUE(MID(H20,FIND("_A_",H20)+3,FIND("_B_",H20)-FIND("_A_",H20)-3))</f>
        <v>4</v>
      </c>
      <c r="D20" s="2">
        <f>VALUE(MID(H20,FIND("_B_",H20)+3,10))</f>
        <v>1</v>
      </c>
      <c r="E20" s="2" cm="1" t="str">
        <f t="array" ref="E20">_xlfn.TEXTJOIN(" | ", TRUE, _xlfn._xlws.FILTER(Diario_D!$J$2:$J$1000, Diario_D!$M$2:$M$1000=H20, ""))</f>
        <v>Duelo (1-2) Barcos (1-0) | PvP (2-1) Barcos (0-1)</v>
      </c>
      <c r="F20" s="2" t="s">
        <v>11</v>
      </c>
      <c r="G20" s="2">
        <f>COUNTIF(Diario_D!$M$3:$M$112,H20)</f>
        <v>2</v>
      </c>
      <c r="H20" s="2" t="str">
        <v>M_575_A_4_B_1</v>
      </c>
    </row>
    <row r="21" spans="1:8" x14ac:dyDescent="0.3">
      <c r="A21" s="2">
        <v>20</v>
      </c>
      <c r="B21" s="2">
        <f>VALUE(MID(H21,3,FIND("_A_",H21)-3))</f>
        <v>575</v>
      </c>
      <c r="C21" s="2">
        <f>VALUE(MID(H21,FIND("_A_",H21)+3,FIND("_B_",H21)-FIND("_A_",H21)-3))</f>
        <v>3</v>
      </c>
      <c r="D21" s="2">
        <f>VALUE(MID(H21,FIND("_B_",H21)+3,10))</f>
        <v>1</v>
      </c>
      <c r="E21" s="2" cm="1" t="str">
        <f t="array" ref="E21">_xlfn.TEXTJOIN(" | ", TRUE, _xlfn._xlws.FILTER(Diario_D!$J$2:$J$1000, Diario_D!$M$2:$M$1000=H21, ""))</f>
        <v>Duelo (2-0) Barcos (0-1)</v>
      </c>
      <c r="F21" s="2" t="s">
        <v>11</v>
      </c>
      <c r="G21" s="2">
        <f>COUNTIF(Diario_D!$M$3:$M$112,H21)</f>
        <v>1</v>
      </c>
      <c r="H21" s="2" t="str">
        <v>M_575_A_3_B_1</v>
      </c>
    </row>
    <row r="22" spans="1:8" x14ac:dyDescent="0.3">
      <c r="A22" s="2">
        <v>21</v>
      </c>
      <c r="B22" s="2">
        <f>VALUE(MID(H22,3,FIND("_A_",H22)-3))</f>
        <v>550</v>
      </c>
      <c r="C22" s="2">
        <f>VALUE(MID(H22,FIND("_A_",H22)+3,FIND("_B_",H22)-FIND("_A_",H22)-3))</f>
        <v>4</v>
      </c>
      <c r="D22" s="2">
        <f>VALUE(MID(H22,FIND("_B_",H22)+3,10))</f>
        <v>2</v>
      </c>
      <c r="E22" s="2" cm="1" t="str">
        <f t="array" ref="E22">_xlfn.TEXTJOIN(" | ", TRUE, _xlfn._xlws.FILTER(Diario_D!$J$2:$J$1000, Diario_D!$M$2:$M$1000=H22, ""))</f>
        <v>PvP (2-0) Barcos (0-2) | PvP (1-1) Barcos (2-0)</v>
      </c>
      <c r="F22" s="2" t="s">
        <v>11</v>
      </c>
      <c r="G22" s="2">
        <f>COUNTIF(Diario_D!$M$3:$M$112,H22)</f>
        <v>2</v>
      </c>
      <c r="H22" s="2" t="str">
        <v>M_550_A_4_B_2</v>
      </c>
    </row>
    <row r="23" spans="1:8" x14ac:dyDescent="0.3">
      <c r="A23" s="2">
        <v>22</v>
      </c>
      <c r="B23" s="2">
        <f>VALUE(MID(H23,3,FIND("_A_",H23)-3))</f>
        <v>550</v>
      </c>
      <c r="C23" s="2">
        <f>VALUE(MID(H23,FIND("_A_",H23)+3,FIND("_B_",H23)-FIND("_A_",H23)-3))</f>
        <v>4</v>
      </c>
      <c r="D23" s="2">
        <f>VALUE(MID(H23,FIND("_B_",H23)+3,10))</f>
        <v>0</v>
      </c>
      <c r="E23" s="2" cm="1" t="str">
        <f t="array" ref="E23">_xlfn.TEXTJOIN(" | ", TRUE, _xlfn._xlws.FILTER(Diario_D!$J$2:$J$1000, Diario_D!$M$2:$M$1000=H23, ""))</f>
        <v>PvP (0-1) Duelo (1-2)</v>
      </c>
      <c r="F23" s="2" t="s">
        <v>11</v>
      </c>
      <c r="G23" s="2">
        <f>COUNTIF(Diario_D!$M$3:$M$112,H23)</f>
        <v>1</v>
      </c>
      <c r="H23" s="2" t="str">
        <v>M_550_A_4_B_0</v>
      </c>
    </row>
    <row r="24" spans="1:8" x14ac:dyDescent="0.3">
      <c r="A24" s="2">
        <v>23</v>
      </c>
      <c r="B24" s="2">
        <f>VALUE(MID(H24,3,FIND("_A_",H24)-3))</f>
        <v>525</v>
      </c>
      <c r="C24" s="2">
        <f>VALUE(MID(H24,FIND("_A_",H24)+3,FIND("_B_",H24)-FIND("_A_",H24)-3))</f>
        <v>4</v>
      </c>
      <c r="D24" s="2">
        <f>VALUE(MID(H24,FIND("_B_",H24)+3,10))</f>
        <v>3</v>
      </c>
      <c r="E24" s="2" cm="1" t="str">
        <f t="array" ref="E24">_xlfn.TEXTJOIN(" | ", TRUE, _xlfn._xlws.FILTER(Diario_D!$J$2:$J$1000, Diario_D!$M$2:$M$1000=H24, ""))</f>
        <v>PvP (1-0) Barcos (2-1)</v>
      </c>
      <c r="F24" s="2" t="s">
        <v>11</v>
      </c>
      <c r="G24" s="2">
        <f>COUNTIF(Diario_D!$M$3:$M$112,H24)</f>
        <v>1</v>
      </c>
      <c r="H24" s="2" t="str">
        <v>M_525_A_4_B_3</v>
      </c>
    </row>
    <row r="25" spans="1:8" x14ac:dyDescent="0.3">
      <c r="A25" s="2">
        <v>24</v>
      </c>
      <c r="B25" s="2">
        <f>VALUE(MID(H25,3,FIND("_A_",H25)-3))</f>
        <v>525</v>
      </c>
      <c r="C25" s="2">
        <f>VALUE(MID(H25,FIND("_A_",H25)+3,FIND("_B_",H25)-FIND("_A_",H25)-3))</f>
        <v>4</v>
      </c>
      <c r="D25" s="2">
        <f>VALUE(MID(H25,FIND("_B_",H25)+3,10))</f>
        <v>1</v>
      </c>
      <c r="E25" s="2" cm="1" t="str">
        <f t="array" ref="E25">_xlfn.TEXTJOIN(" | ", TRUE, _xlfn._xlws.FILTER(Diario_D!$J$2:$J$1000, Diario_D!$M$2:$M$1000=H25, ""))</f>
        <v>Duelo (1-2) Barcos (0-1) | PvP (1-0) Duelo (0-2) Barcos (1-0) | PvP (1-2) Barcos (1-0)</v>
      </c>
      <c r="F25" s="2" t="s">
        <v>11</v>
      </c>
      <c r="G25" s="2">
        <f>COUNTIF(Diario_D!$M$3:$M$112,H25)</f>
        <v>3</v>
      </c>
      <c r="H25" s="2" t="str">
        <v>M_525_A_4_B_1</v>
      </c>
    </row>
    <row r="26" spans="1:8" x14ac:dyDescent="0.3">
      <c r="A26" s="2">
        <v>25</v>
      </c>
      <c r="B26" s="2">
        <f>VALUE(MID(H26,3,FIND("_A_",H26)-3))</f>
        <v>525</v>
      </c>
      <c r="C26" s="2">
        <f>VALUE(MID(H26,FIND("_A_",H26)+3,FIND("_B_",H26)-FIND("_A_",H26)-3))</f>
        <v>3</v>
      </c>
      <c r="D26" s="2">
        <f>VALUE(MID(H26,FIND("_B_",H26)+3,10))</f>
        <v>1</v>
      </c>
      <c r="E26" s="2" cm="1" t="str">
        <f t="array" ref="E26">_xlfn.TEXTJOIN(" | ", TRUE, _xlfn._xlws.FILTER(Diario_D!$J$2:$J$1000, Diario_D!$M$2:$M$1000=H26, ""))</f>
        <v>PvP (2-0) Barcos (1-0)</v>
      </c>
      <c r="F26" s="2" t="s">
        <v>11</v>
      </c>
      <c r="G26" s="2">
        <f>COUNTIF(Diario_D!$M$3:$M$112,H26)</f>
        <v>1</v>
      </c>
      <c r="H26" s="2" t="str">
        <v>M_525_A_3_B_1</v>
      </c>
    </row>
    <row r="27" spans="1:8" x14ac:dyDescent="0.3">
      <c r="A27" s="2">
        <v>26</v>
      </c>
      <c r="B27" s="2">
        <f>VALUE(MID(H27,3,FIND("_A_",H27)-3))</f>
        <v>500</v>
      </c>
      <c r="C27" s="2">
        <f>VALUE(MID(H27,FIND("_A_",H27)+3,FIND("_B_",H27)-FIND("_A_",H27)-3))</f>
        <v>4</v>
      </c>
      <c r="D27" s="2">
        <f>VALUE(MID(H27,FIND("_B_",H27)+3,10))</f>
        <v>4</v>
      </c>
      <c r="E27" s="2" cm="1" t="str">
        <f t="array" ref="E27">_xlfn.TEXTJOIN(" | ", TRUE, _xlfn._xlws.FILTER(Diario_D!$J$2:$J$1000, Diario_D!$M$2:$M$1000=H27, ""))</f>
        <v>Barcos (4-0)</v>
      </c>
      <c r="F27" s="2" t="s">
        <v>11</v>
      </c>
      <c r="G27" s="2">
        <f>COUNTIF(Diario_D!$M$3:$M$112,H27)</f>
        <v>1</v>
      </c>
      <c r="H27" s="2" t="str">
        <v>M_500_A_4_B_4</v>
      </c>
    </row>
    <row r="28" spans="1:8" x14ac:dyDescent="0.3">
      <c r="A28" s="2">
        <v>27</v>
      </c>
      <c r="B28" s="2">
        <f>VALUE(MID(H28,3,FIND("_A_",H28)-3))</f>
        <v>500</v>
      </c>
      <c r="C28" s="2">
        <f>VALUE(MID(H28,FIND("_A_",H28)+3,FIND("_B_",H28)-FIND("_A_",H28)-3))</f>
        <v>4</v>
      </c>
      <c r="D28" s="2">
        <f>VALUE(MID(H28,FIND("_B_",H28)+3,10))</f>
        <v>2</v>
      </c>
      <c r="E28" s="2" cm="1" t="str">
        <f t="array" ref="E28">_xlfn.TEXTJOIN(" | ", TRUE, _xlfn._xlws.FILTER(Diario_D!$J$2:$J$1000, Diario_D!$M$2:$M$1000=H28, ""))</f>
        <v>PvP (1-1) Barcos (1-1)</v>
      </c>
      <c r="F28" s="2" t="s">
        <v>11</v>
      </c>
      <c r="G28" s="2">
        <f>COUNTIF(Diario_D!$M$3:$M$112,H28)</f>
        <v>1</v>
      </c>
      <c r="H28" s="2" t="str">
        <v>M_500_A_4_B_2</v>
      </c>
    </row>
    <row r="29" spans="1:8" x14ac:dyDescent="0.3">
      <c r="A29" s="2">
        <v>28</v>
      </c>
      <c r="B29" s="2">
        <f>VALUE(MID(H29,3,FIND("_A_",H29)-3))</f>
        <v>500</v>
      </c>
      <c r="C29" s="2">
        <f>VALUE(MID(H29,FIND("_A_",H29)+3,FIND("_B_",H29)-FIND("_A_",H29)-3))</f>
        <v>4</v>
      </c>
      <c r="D29" s="2">
        <f>VALUE(MID(H29,FIND("_B_",H29)+3,10))</f>
        <v>0</v>
      </c>
      <c r="E29" s="2" cm="1" t="str">
        <f t="array" ref="E29">_xlfn.TEXTJOIN(" | ", TRUE, _xlfn._xlws.FILTER(Diario_D!$J$2:$J$1000, Diario_D!$M$2:$M$1000=H29, ""))</f>
        <v>PvP (1-1) Duelo (0-2) | PvP (1-3)</v>
      </c>
      <c r="F29" s="2" t="s">
        <v>11</v>
      </c>
      <c r="G29" s="2">
        <f>COUNTIF(Diario_D!$M$3:$M$112,H29)</f>
        <v>2</v>
      </c>
      <c r="H29" s="2" t="str">
        <v>M_500_A_4_B_0</v>
      </c>
    </row>
    <row r="30" spans="1:8" x14ac:dyDescent="0.3">
      <c r="A30" s="2">
        <v>29</v>
      </c>
      <c r="B30" s="2">
        <f>VALUE(MID(H30,3,FIND("_A_",H30)-3))</f>
        <v>500</v>
      </c>
      <c r="C30" s="2">
        <f>VALUE(MID(H30,FIND("_A_",H30)+3,FIND("_B_",H30)-FIND("_A_",H30)-3))</f>
        <v>3</v>
      </c>
      <c r="D30" s="2">
        <f>VALUE(MID(H30,FIND("_B_",H30)+3,10))</f>
        <v>0</v>
      </c>
      <c r="E30" s="2" cm="1" t="str">
        <f t="array" ref="E30">_xlfn.TEXTJOIN(" | ", TRUE, _xlfn._xlws.FILTER(Diario_D!$J$2:$J$1000, Diario_D!$M$2:$M$1000=H30, ""))</f>
        <v>PvP (2-1)</v>
      </c>
      <c r="F30" s="2" t="s">
        <v>11</v>
      </c>
      <c r="G30" s="2">
        <f>COUNTIF(Diario_D!$M$3:$M$112,H30)</f>
        <v>1</v>
      </c>
      <c r="H30" s="2" t="str">
        <v>M_500_A_3_B_0</v>
      </c>
    </row>
    <row r="31" spans="1:8" x14ac:dyDescent="0.3">
      <c r="A31" s="2">
        <v>30</v>
      </c>
      <c r="B31" s="2">
        <f>VALUE(MID(H31,3,FIND("_A_",H31)-3))</f>
        <v>500</v>
      </c>
      <c r="C31" s="2">
        <f>VALUE(MID(H31,FIND("_A_",H31)+3,FIND("_B_",H31)-FIND("_A_",H31)-3))</f>
        <v>2</v>
      </c>
      <c r="D31" s="2">
        <f>VALUE(MID(H31,FIND("_B_",H31)+3,10))</f>
        <v>0</v>
      </c>
      <c r="E31" s="2" cm="1" t="str">
        <f t="array" ref="E31">_xlfn.TEXTJOIN(" | ", TRUE, _xlfn._xlws.FILTER(Diario_D!$J$2:$J$1000, Diario_D!$M$2:$M$1000=H31, ""))</f>
        <v>Duelo (2-0)</v>
      </c>
      <c r="F31" s="2" t="s">
        <v>11</v>
      </c>
      <c r="G31" s="2">
        <f>COUNTIF(Diario_D!$M$3:$M$112,H31)</f>
        <v>1</v>
      </c>
      <c r="H31" s="2" t="str">
        <v>M_500_A_2_B_0</v>
      </c>
    </row>
    <row r="32" spans="1:8" x14ac:dyDescent="0.3">
      <c r="A32" s="2">
        <v>31</v>
      </c>
      <c r="B32" s="2">
        <f>VALUE(MID(H32,3,FIND("_A_",H32)-3))</f>
        <v>475</v>
      </c>
      <c r="C32" s="2">
        <f>VALUE(MID(H32,FIND("_A_",H32)+3,FIND("_B_",H32)-FIND("_A_",H32)-3))</f>
        <v>4</v>
      </c>
      <c r="D32" s="2">
        <f>VALUE(MID(H32,FIND("_B_",H32)+3,10))</f>
        <v>3</v>
      </c>
      <c r="E32" s="2" cm="1" t="str">
        <f t="array" ref="E32">_xlfn.TEXTJOIN(" | ", TRUE, _xlfn._xlws.FILTER(Diario_D!$J$2:$J$1000, Diario_D!$M$2:$M$1000=H32, ""))</f>
        <v>PvP (1-0) Barcos (1-2) | PvP (0-1) Barcos (3-0)</v>
      </c>
      <c r="F32" s="2" t="s">
        <v>11</v>
      </c>
      <c r="G32" s="2">
        <f>COUNTIF(Diario_D!$M$3:$M$112,H32)</f>
        <v>2</v>
      </c>
      <c r="H32" s="2" t="str">
        <v>M_475_A_4_B_3</v>
      </c>
    </row>
    <row r="33" spans="1:8" x14ac:dyDescent="0.3">
      <c r="A33" s="2">
        <v>32</v>
      </c>
      <c r="B33" s="2">
        <f>VALUE(MID(H33,3,FIND("_A_",H33)-3))</f>
        <v>475</v>
      </c>
      <c r="C33" s="2">
        <f>VALUE(MID(H33,FIND("_A_",H33)+3,FIND("_B_",H33)-FIND("_A_",H33)-3))</f>
        <v>4</v>
      </c>
      <c r="D33" s="2">
        <f>VALUE(MID(H33,FIND("_B_",H33)+3,10))</f>
        <v>1</v>
      </c>
      <c r="E33" s="2" cm="1" t="str">
        <f t="array" ref="E33">_xlfn.TEXTJOIN(" | ", TRUE, _xlfn._xlws.FILTER(Diario_D!$J$2:$J$1000, Diario_D!$M$2:$M$1000=H33, ""))</f>
        <v>PvP (1-0) Duelo (0-2) Barcos (0-1) | PvP (1-2) Barcos (0-1)</v>
      </c>
      <c r="F33" s="2" t="s">
        <v>11</v>
      </c>
      <c r="G33" s="2">
        <f>COUNTIF(Diario_D!$M$3:$M$112,H33)</f>
        <v>2</v>
      </c>
      <c r="H33" s="2" t="str">
        <v>M_475_A_4_B_1</v>
      </c>
    </row>
    <row r="34" spans="1:8" x14ac:dyDescent="0.3">
      <c r="A34" s="2">
        <v>33</v>
      </c>
      <c r="B34" s="2">
        <f>VALUE(MID(H34,3,FIND("_A_",H34)-3))</f>
        <v>475</v>
      </c>
      <c r="C34" s="2">
        <f>VALUE(MID(H34,FIND("_A_",H34)+3,FIND("_B_",H34)-FIND("_A_",H34)-3))</f>
        <v>3</v>
      </c>
      <c r="D34" s="2">
        <f>VALUE(MID(H34,FIND("_B_",H34)+3,10))</f>
        <v>1</v>
      </c>
      <c r="E34" s="2" cm="1" t="str">
        <f t="array" ref="E34">_xlfn.TEXTJOIN(" | ", TRUE, _xlfn._xlws.FILTER(Diario_D!$J$2:$J$1000, Diario_D!$M$2:$M$1000=H34, ""))</f>
        <v>PvP (2-0) Barcos (0-1)</v>
      </c>
      <c r="F34" s="2" t="s">
        <v>11</v>
      </c>
      <c r="G34" s="2">
        <f>COUNTIF(Diario_D!$M$3:$M$112,H34)</f>
        <v>1</v>
      </c>
      <c r="H34" s="2" t="str">
        <v>M_475_A_3_B_1</v>
      </c>
    </row>
    <row r="35" spans="1:8" x14ac:dyDescent="0.3">
      <c r="A35" s="2">
        <v>34</v>
      </c>
      <c r="B35" s="2">
        <f>VALUE(MID(H35,3,FIND("_A_",H35)-3))</f>
        <v>450</v>
      </c>
      <c r="C35" s="2">
        <f>VALUE(MID(H35,FIND("_A_",H35)+3,FIND("_B_",H35)-FIND("_A_",H35)-3))</f>
        <v>4</v>
      </c>
      <c r="D35" s="2">
        <f>VALUE(MID(H35,FIND("_B_",H35)+3,10))</f>
        <v>4</v>
      </c>
      <c r="E35" s="2" cm="1" t="str">
        <f t="array" ref="E35">_xlfn.TEXTJOIN(" | ", TRUE, _xlfn._xlws.FILTER(Diario_D!$J$2:$J$1000, Diario_D!$M$2:$M$1000=H35, ""))</f>
        <v>Barcos (3-1)</v>
      </c>
      <c r="F35" s="2" t="s">
        <v>11</v>
      </c>
      <c r="G35" s="2">
        <f>COUNTIF(Diario_D!$M$3:$M$112,H35)</f>
        <v>1</v>
      </c>
      <c r="H35" s="2" t="str">
        <v>M_450_A_4_B_4</v>
      </c>
    </row>
    <row r="36" spans="1:8" x14ac:dyDescent="0.3">
      <c r="A36" s="2">
        <v>35</v>
      </c>
      <c r="B36" s="2">
        <f>VALUE(MID(H36,3,FIND("_A_",H36)-3))</f>
        <v>450</v>
      </c>
      <c r="C36" s="2">
        <f>VALUE(MID(H36,FIND("_A_",H36)+3,FIND("_B_",H36)-FIND("_A_",H36)-3))</f>
        <v>4</v>
      </c>
      <c r="D36" s="2">
        <f>VALUE(MID(H36,FIND("_B_",H36)+3,10))</f>
        <v>2</v>
      </c>
      <c r="E36" s="2" cm="1" t="str">
        <f t="array" ref="E36">_xlfn.TEXTJOIN(" | ", TRUE, _xlfn._xlws.FILTER(Diario_D!$J$2:$J$1000, Diario_D!$M$2:$M$1000=H36, ""))</f>
        <v>Duelo (0-2) Barcos (2-0) | PvP (1-1) Barcos (0-2) | PvP (0-2) Barcos (2-0)</v>
      </c>
      <c r="F36" s="2" t="s">
        <v>11</v>
      </c>
      <c r="G36" s="2">
        <f>COUNTIF(Diario_D!$M$3:$M$112,H36)</f>
        <v>3</v>
      </c>
      <c r="H36" s="2" t="str">
        <v>M_450_A_4_B_2</v>
      </c>
    </row>
    <row r="37" spans="1:8" x14ac:dyDescent="0.3">
      <c r="A37" s="2">
        <v>36</v>
      </c>
      <c r="B37" s="2">
        <f>VALUE(MID(H37,3,FIND("_A_",H37)-3))</f>
        <v>450</v>
      </c>
      <c r="C37" s="2">
        <f>VALUE(MID(H37,FIND("_A_",H37)+3,FIND("_B_",H37)-FIND("_A_",H37)-3))</f>
        <v>3</v>
      </c>
      <c r="D37" s="2">
        <f>VALUE(MID(H37,FIND("_B_",H37)+3,10))</f>
        <v>2</v>
      </c>
      <c r="E37" s="2" cm="1" t="str">
        <f t="array" ref="E37">_xlfn.TEXTJOIN(" | ", TRUE, _xlfn._xlws.FILTER(Diario_D!$J$2:$J$1000, Diario_D!$M$2:$M$1000=H37, ""))</f>
        <v>PvP (1-0) Barcos (2-0)</v>
      </c>
      <c r="F37" s="2" t="s">
        <v>11</v>
      </c>
      <c r="G37" s="2">
        <f>COUNTIF(Diario_D!$M$3:$M$112,H37)</f>
        <v>1</v>
      </c>
      <c r="H37" s="2" t="str">
        <v>M_450_A_3_B_2</v>
      </c>
    </row>
    <row r="38" spans="1:8" x14ac:dyDescent="0.3">
      <c r="A38" s="2">
        <v>37</v>
      </c>
      <c r="B38" s="2">
        <f>VALUE(MID(H38,3,FIND("_A_",H38)-3))</f>
        <v>450</v>
      </c>
      <c r="C38" s="2">
        <f>VALUE(MID(H38,FIND("_A_",H38)+3,FIND("_B_",H38)-FIND("_A_",H38)-3))</f>
        <v>3</v>
      </c>
      <c r="D38" s="2">
        <f>VALUE(MID(H38,FIND("_B_",H38)+3,10))</f>
        <v>0</v>
      </c>
      <c r="E38" s="2" cm="1" t="str">
        <f t="array" ref="E38">_xlfn.TEXTJOIN(" | ", TRUE, _xlfn._xlws.FILTER(Diario_D!$J$2:$J$1000, Diario_D!$M$2:$M$1000=H38, ""))</f>
        <v>Duelo (1-2)</v>
      </c>
      <c r="F38" s="2" t="s">
        <v>11</v>
      </c>
      <c r="G38" s="2">
        <f>COUNTIF(Diario_D!$M$3:$M$112,H38)</f>
        <v>1</v>
      </c>
      <c r="H38" s="2" t="str">
        <v>M_450_A_3_B_0</v>
      </c>
    </row>
    <row r="39" spans="1:8" x14ac:dyDescent="0.3">
      <c r="A39" s="2">
        <v>38</v>
      </c>
      <c r="B39" s="2">
        <f>VALUE(MID(H39,3,FIND("_A_",H39)-3))</f>
        <v>425</v>
      </c>
      <c r="C39" s="2">
        <f>VALUE(MID(H39,FIND("_A_",H39)+3,FIND("_B_",H39)-FIND("_A_",H39)-3))</f>
        <v>4</v>
      </c>
      <c r="D39" s="2">
        <f>VALUE(MID(H39,FIND("_B_",H39)+3,10))</f>
        <v>3</v>
      </c>
      <c r="E39" s="2" cm="1" t="str">
        <f t="array" ref="E39">_xlfn.TEXTJOIN(" | ", TRUE, _xlfn._xlws.FILTER(Diario_D!$J$2:$J$1000, Diario_D!$M$2:$M$1000=H39, ""))</f>
        <v>PvP (1-0) Barcos (0-3) | PvP (0-1) Barcos (2-1)</v>
      </c>
      <c r="F39" s="2" t="s">
        <v>11</v>
      </c>
      <c r="G39" s="2">
        <f>COUNTIF(Diario_D!$M$3:$M$112,H39)</f>
        <v>2</v>
      </c>
      <c r="H39" s="2" t="str">
        <v>M_425_A_4_B_3</v>
      </c>
    </row>
    <row r="40" spans="1:8" x14ac:dyDescent="0.3">
      <c r="A40" s="2">
        <v>39</v>
      </c>
      <c r="B40" s="2">
        <f>VALUE(MID(H40,3,FIND("_A_",H40)-3))</f>
        <v>425</v>
      </c>
      <c r="C40" s="2">
        <f>VALUE(MID(H40,FIND("_A_",H40)+3,FIND("_B_",H40)-FIND("_A_",H40)-3))</f>
        <v>4</v>
      </c>
      <c r="D40" s="2">
        <f>VALUE(MID(H40,FIND("_B_",H40)+3,10))</f>
        <v>1</v>
      </c>
      <c r="E40" s="2" cm="1" t="str">
        <f t="array" ref="E40">_xlfn.TEXTJOIN(" | ", TRUE, _xlfn._xlws.FILTER(Diario_D!$J$2:$J$1000, Diario_D!$M$2:$M$1000=H40, ""))</f>
        <v>PvP (0-1) Duelo (0-2) Barcos (1-0) | PvP (0-3) Barcos (1-0)</v>
      </c>
      <c r="F40" s="2" t="s">
        <v>11</v>
      </c>
      <c r="G40" s="2">
        <f>COUNTIF(Diario_D!$M$3:$M$112,H40)</f>
        <v>2</v>
      </c>
      <c r="H40" s="2" t="str">
        <v>M_425_A_4_B_1</v>
      </c>
    </row>
    <row r="41" spans="1:8" x14ac:dyDescent="0.3">
      <c r="A41" s="2">
        <v>40</v>
      </c>
      <c r="B41" s="2">
        <f>VALUE(MID(H41,3,FIND("_A_",H41)-3))</f>
        <v>425</v>
      </c>
      <c r="C41" s="2">
        <f>VALUE(MID(H41,FIND("_A_",H41)+3,FIND("_B_",H41)-FIND("_A_",H41)-3))</f>
        <v>3</v>
      </c>
      <c r="D41" s="2">
        <f>VALUE(MID(H41,FIND("_B_",H41)+3,10))</f>
        <v>1</v>
      </c>
      <c r="E41" s="2" cm="1" t="str">
        <f t="array" ref="E41">_xlfn.TEXTJOIN(" | ", TRUE, _xlfn._xlws.FILTER(Diario_D!$J$2:$J$1000, Diario_D!$M$2:$M$1000=H41, ""))</f>
        <v>PvP (1-1) Barcos (1-0)</v>
      </c>
      <c r="F41" s="2" t="s">
        <v>11</v>
      </c>
      <c r="G41" s="2">
        <f>COUNTIF(Diario_D!$M$3:$M$112,H41)</f>
        <v>1</v>
      </c>
      <c r="H41" s="2" t="str">
        <v>M_425_A_3_B_1</v>
      </c>
    </row>
    <row r="42" spans="1:8" x14ac:dyDescent="0.3">
      <c r="A42" s="2">
        <v>41</v>
      </c>
      <c r="B42" s="2">
        <f>VALUE(MID(H42,3,FIND("_A_",H42)-3))</f>
        <v>400</v>
      </c>
      <c r="C42" s="2">
        <f>VALUE(MID(H42,FIND("_A_",H42)+3,FIND("_B_",H42)-FIND("_A_",H42)-3))</f>
        <v>4</v>
      </c>
      <c r="D42" s="2">
        <f>VALUE(MID(H42,FIND("_B_",H42)+3,10))</f>
        <v>4</v>
      </c>
      <c r="E42" s="2" cm="1" t="str">
        <f t="array" ref="E42">_xlfn.TEXTJOIN(" | ", TRUE, _xlfn._xlws.FILTER(Diario_D!$J$2:$J$1000, Diario_D!$M$2:$M$1000=H42, ""))</f>
        <v>Barcos (2-2)</v>
      </c>
      <c r="F42" s="2" t="s">
        <v>11</v>
      </c>
      <c r="G42" s="2">
        <f>COUNTIF(Diario_D!$M$3:$M$112,H42)</f>
        <v>1</v>
      </c>
      <c r="H42" s="2" t="str">
        <v>M_400_A_4_B_4</v>
      </c>
    </row>
    <row r="43" spans="1:8" x14ac:dyDescent="0.3">
      <c r="A43" s="2">
        <v>42</v>
      </c>
      <c r="B43" s="2">
        <f>VALUE(MID(H43,3,FIND("_A_",H43)-3))</f>
        <v>400</v>
      </c>
      <c r="C43" s="2">
        <f>VALUE(MID(H43,FIND("_A_",H43)+3,FIND("_B_",H43)-FIND("_A_",H43)-3))</f>
        <v>4</v>
      </c>
      <c r="D43" s="2">
        <f>VALUE(MID(H43,FIND("_B_",H43)+3,10))</f>
        <v>2</v>
      </c>
      <c r="E43" s="2" cm="1" t="str">
        <f t="array" ref="E43">_xlfn.TEXTJOIN(" | ", TRUE, _xlfn._xlws.FILTER(Diario_D!$J$2:$J$1000, Diario_D!$M$2:$M$1000=H43, ""))</f>
        <v>Duelo (0-2) Barcos (1-1) | PvP (0-2) Barcos (1-1)</v>
      </c>
      <c r="F43" s="2" t="s">
        <v>11</v>
      </c>
      <c r="G43" s="2">
        <f>COUNTIF(Diario_D!$M$3:$M$112,H43)</f>
        <v>2</v>
      </c>
      <c r="H43" s="2" t="str">
        <v>M_400_A_4_B_2</v>
      </c>
    </row>
    <row r="44" spans="1:8" x14ac:dyDescent="0.3">
      <c r="A44" s="2">
        <v>43</v>
      </c>
      <c r="B44" s="2">
        <f>VALUE(MID(H44,3,FIND("_A_",H44)-3))</f>
        <v>400</v>
      </c>
      <c r="C44" s="2">
        <f>VALUE(MID(H44,FIND("_A_",H44)+3,FIND("_B_",H44)-FIND("_A_",H44)-3))</f>
        <v>4</v>
      </c>
      <c r="D44" s="2">
        <f>VALUE(MID(H44,FIND("_B_",H44)+3,10))</f>
        <v>0</v>
      </c>
      <c r="E44" s="2" cm="1" t="str">
        <f t="array" ref="E44">_xlfn.TEXTJOIN(" | ", TRUE, _xlfn._xlws.FILTER(Diario_D!$J$2:$J$1000, Diario_D!$M$2:$M$1000=H44, ""))</f>
        <v>PvP (0-2) Duelo (0-2) | PvP (0-4)</v>
      </c>
      <c r="F44" s="2" t="s">
        <v>11</v>
      </c>
      <c r="G44" s="2">
        <f>COUNTIF(Diario_D!$M$3:$M$112,H44)</f>
        <v>2</v>
      </c>
      <c r="H44" s="2" t="str">
        <v>M_400_A_4_B_0</v>
      </c>
    </row>
    <row r="45" spans="1:8" x14ac:dyDescent="0.3">
      <c r="A45" s="2">
        <v>44</v>
      </c>
      <c r="B45" s="2">
        <f>VALUE(MID(H45,3,FIND("_A_",H45)-3))</f>
        <v>400</v>
      </c>
      <c r="C45" s="2">
        <f>VALUE(MID(H45,FIND("_A_",H45)+3,FIND("_B_",H45)-FIND("_A_",H45)-3))</f>
        <v>3</v>
      </c>
      <c r="D45" s="2">
        <f>VALUE(MID(H45,FIND("_B_",H45)+3,10))</f>
        <v>2</v>
      </c>
      <c r="E45" s="2" cm="1" t="str">
        <f t="array" ref="E45">_xlfn.TEXTJOIN(" | ", TRUE, _xlfn._xlws.FILTER(Diario_D!$J$2:$J$1000, Diario_D!$M$2:$M$1000=H45, ""))</f>
        <v>PvP (1-0) Barcos (1-1)</v>
      </c>
      <c r="F45" s="2" t="s">
        <v>11</v>
      </c>
      <c r="G45" s="2">
        <f>COUNTIF(Diario_D!$M$3:$M$112,H45)</f>
        <v>1</v>
      </c>
      <c r="H45" s="2" t="str">
        <v>M_400_A_3_B_2</v>
      </c>
    </row>
    <row r="46" spans="1:8" x14ac:dyDescent="0.3">
      <c r="A46" s="2">
        <v>45</v>
      </c>
      <c r="B46" s="2">
        <f>VALUE(MID(H46,3,FIND("_A_",H46)-3))</f>
        <v>400</v>
      </c>
      <c r="C46" s="2">
        <f>VALUE(MID(H46,FIND("_A_",H46)+3,FIND("_B_",H46)-FIND("_A_",H46)-3))</f>
        <v>3</v>
      </c>
      <c r="D46" s="2">
        <f>VALUE(MID(H46,FIND("_B_",H46)+3,10))</f>
        <v>0</v>
      </c>
      <c r="E46" s="2" cm="1" t="str">
        <f t="array" ref="E46">_xlfn.TEXTJOIN(" | ", TRUE, _xlfn._xlws.FILTER(Diario_D!$J$2:$J$1000, Diario_D!$M$2:$M$1000=H46, ""))</f>
        <v>PvP (1-0) Duelo (0-2) | PvP (1-2)</v>
      </c>
      <c r="F46" s="2" t="s">
        <v>11</v>
      </c>
      <c r="G46" s="2">
        <f>COUNTIF(Diario_D!$M$3:$M$112,H46)</f>
        <v>2</v>
      </c>
      <c r="H46" s="2" t="str">
        <v>M_400_A_3_B_0</v>
      </c>
    </row>
    <row r="47" spans="1:8" x14ac:dyDescent="0.3">
      <c r="A47" s="2">
        <v>46</v>
      </c>
      <c r="B47" s="2">
        <f>VALUE(MID(H47,3,FIND("_A_",H47)-3))</f>
        <v>400</v>
      </c>
      <c r="C47" s="2">
        <f>VALUE(MID(H47,FIND("_A_",H47)+3,FIND("_B_",H47)-FIND("_A_",H47)-3))</f>
        <v>2</v>
      </c>
      <c r="D47" s="2">
        <f>VALUE(MID(H47,FIND("_B_",H47)+3,10))</f>
        <v>0</v>
      </c>
      <c r="E47" s="2" cm="1" t="str">
        <f t="array" ref="E47">_xlfn.TEXTJOIN(" | ", TRUE, _xlfn._xlws.FILTER(Diario_D!$J$2:$J$1000, Diario_D!$M$2:$M$1000=H47, ""))</f>
        <v>PvP (2-0)</v>
      </c>
      <c r="F47" s="2" t="s">
        <v>11</v>
      </c>
      <c r="G47" s="2">
        <f>COUNTIF(Diario_D!$M$3:$M$112,H47)</f>
        <v>1</v>
      </c>
      <c r="H47" s="2" t="str">
        <v>M_400_A_2_B_0</v>
      </c>
    </row>
    <row r="48" spans="1:8" x14ac:dyDescent="0.3">
      <c r="A48" s="2">
        <v>47</v>
      </c>
      <c r="B48" s="2">
        <f>VALUE(MID(H48,3,FIND("_A_",H48)-3))</f>
        <v>375</v>
      </c>
      <c r="C48" s="2">
        <f>VALUE(MID(H48,FIND("_A_",H48)+3,FIND("_B_",H48)-FIND("_A_",H48)-3))</f>
        <v>4</v>
      </c>
      <c r="D48" s="2">
        <f>VALUE(MID(H48,FIND("_B_",H48)+3,10))</f>
        <v>3</v>
      </c>
      <c r="E48" s="2" cm="1" t="str">
        <f t="array" ref="E48">_xlfn.TEXTJOIN(" | ", TRUE, _xlfn._xlws.FILTER(Diario_D!$J$2:$J$1000, Diario_D!$M$2:$M$1000=H48, ""))</f>
        <v>PvP (0-1) Barcos (1-2)</v>
      </c>
      <c r="F48" s="2" t="s">
        <v>11</v>
      </c>
      <c r="G48" s="2">
        <f>COUNTIF(Diario_D!$M$3:$M$112,H48)</f>
        <v>1</v>
      </c>
      <c r="H48" s="2" t="str">
        <v>M_375_A_4_B_3</v>
      </c>
    </row>
    <row r="49" spans="1:8" x14ac:dyDescent="0.3">
      <c r="A49" s="2">
        <v>48</v>
      </c>
      <c r="B49" s="2">
        <f>VALUE(MID(H49,3,FIND("_A_",H49)-3))</f>
        <v>375</v>
      </c>
      <c r="C49" s="2">
        <f>VALUE(MID(H49,FIND("_A_",H49)+3,FIND("_B_",H49)-FIND("_A_",H49)-3))</f>
        <v>4</v>
      </c>
      <c r="D49" s="2">
        <f>VALUE(MID(H49,FIND("_B_",H49)+3,10))</f>
        <v>1</v>
      </c>
      <c r="E49" s="2" cm="1" t="str">
        <f t="array" ref="E49">_xlfn.TEXTJOIN(" | ", TRUE, _xlfn._xlws.FILTER(Diario_D!$J$2:$J$1000, Diario_D!$M$2:$M$1000=H49, ""))</f>
        <v>PvP (0-1) Duelo (0-2) Barcos (0-1) | PvP (0-3) Barcos (0-1)</v>
      </c>
      <c r="F49" s="2" t="s">
        <v>11</v>
      </c>
      <c r="G49" s="2">
        <f>COUNTIF(Diario_D!$M$3:$M$112,H49)</f>
        <v>2</v>
      </c>
      <c r="H49" s="2" t="str">
        <v>M_375_A_4_B_1</v>
      </c>
    </row>
    <row r="50" spans="1:8" x14ac:dyDescent="0.3">
      <c r="A50" s="2">
        <v>49</v>
      </c>
      <c r="B50" s="2">
        <f>VALUE(MID(H50,3,FIND("_A_",H50)-3))</f>
        <v>375</v>
      </c>
      <c r="C50" s="2">
        <f>VALUE(MID(H50,FIND("_A_",H50)+3,FIND("_B_",H50)-FIND("_A_",H50)-3))</f>
        <v>3</v>
      </c>
      <c r="D50" s="2">
        <f>VALUE(MID(H50,FIND("_B_",H50)+3,10))</f>
        <v>3</v>
      </c>
      <c r="E50" s="2" cm="1" t="str">
        <f t="array" ref="E50">_xlfn.TEXTJOIN(" | ", TRUE, _xlfn._xlws.FILTER(Diario_D!$J$2:$J$1000, Diario_D!$M$2:$M$1000=H50, ""))</f>
        <v>Barcos (3-0)</v>
      </c>
      <c r="F50" s="2" t="s">
        <v>11</v>
      </c>
      <c r="G50" s="2">
        <f>COUNTIF(Diario_D!$M$3:$M$112,H50)</f>
        <v>1</v>
      </c>
      <c r="H50" s="2" t="str">
        <v>M_375_A_3_B_3</v>
      </c>
    </row>
    <row r="51" spans="1:8" x14ac:dyDescent="0.3">
      <c r="A51" s="2">
        <v>50</v>
      </c>
      <c r="B51" s="2">
        <f>VALUE(MID(H51,3,FIND("_A_",H51)-3))</f>
        <v>375</v>
      </c>
      <c r="C51" s="2">
        <f>VALUE(MID(H51,FIND("_A_",H51)+3,FIND("_B_",H51)-FIND("_A_",H51)-3))</f>
        <v>3</v>
      </c>
      <c r="D51" s="2">
        <f>VALUE(MID(H51,FIND("_B_",H51)+3,10))</f>
        <v>1</v>
      </c>
      <c r="E51" s="2" cm="1" t="str">
        <f t="array" ref="E51">_xlfn.TEXTJOIN(" | ", TRUE, _xlfn._xlws.FILTER(Diario_D!$J$2:$J$1000, Diario_D!$M$2:$M$1000=H51, ""))</f>
        <v>PvP (1-1) Barcos (0-1)</v>
      </c>
      <c r="F51" s="2" t="s">
        <v>11</v>
      </c>
      <c r="G51" s="2">
        <f>COUNTIF(Diario_D!$M$3:$M$112,H51)</f>
        <v>1</v>
      </c>
      <c r="H51" s="2" t="str">
        <v>M_375_A_3_B_1</v>
      </c>
    </row>
    <row r="52" spans="1:8" x14ac:dyDescent="0.3">
      <c r="A52" s="2">
        <v>51</v>
      </c>
      <c r="B52" s="2">
        <f>VALUE(MID(H52,3,FIND("_A_",H52)-3))</f>
        <v>350</v>
      </c>
      <c r="C52" s="2">
        <f>VALUE(MID(H52,FIND("_A_",H52)+3,FIND("_B_",H52)-FIND("_A_",H52)-3))</f>
        <v>4</v>
      </c>
      <c r="D52" s="2">
        <f>VALUE(MID(H52,FIND("_B_",H52)+3,10))</f>
        <v>4</v>
      </c>
      <c r="E52" s="2" cm="1" t="str">
        <f t="array" ref="E52">_xlfn.TEXTJOIN(" | ", TRUE, _xlfn._xlws.FILTER(Diario_D!$J$2:$J$1000, Diario_D!$M$2:$M$1000=H52, ""))</f>
        <v>Barcos (1-3)</v>
      </c>
      <c r="F52" s="2" t="s">
        <v>11</v>
      </c>
      <c r="G52" s="2">
        <f>COUNTIF(Diario_D!$M$3:$M$112,H52)</f>
        <v>1</v>
      </c>
      <c r="H52" s="2" t="str">
        <v>M_350_A_4_B_4</v>
      </c>
    </row>
    <row r="53" spans="1:8" x14ac:dyDescent="0.3">
      <c r="A53" s="2">
        <v>52</v>
      </c>
      <c r="B53" s="2">
        <f>VALUE(MID(H53,3,FIND("_A_",H53)-3))</f>
        <v>350</v>
      </c>
      <c r="C53" s="2">
        <f>VALUE(MID(H53,FIND("_A_",H53)+3,FIND("_B_",H53)-FIND("_A_",H53)-3))</f>
        <v>4</v>
      </c>
      <c r="D53" s="2">
        <f>VALUE(MID(H53,FIND("_B_",H53)+3,10))</f>
        <v>2</v>
      </c>
      <c r="E53" s="2" cm="1" t="str">
        <f t="array" ref="E53">_xlfn.TEXTJOIN(" | ", TRUE, _xlfn._xlws.FILTER(Diario_D!$J$2:$J$1000, Diario_D!$M$2:$M$1000=H53, ""))</f>
        <v>Duelo (0-2) Barcos (0-2) | PvP (0-2) Barcos (0-2)</v>
      </c>
      <c r="F53" s="2" t="s">
        <v>11</v>
      </c>
      <c r="G53" s="2">
        <f>COUNTIF(Diario_D!$M$3:$M$112,H53)</f>
        <v>2</v>
      </c>
      <c r="H53" s="2" t="str">
        <v>M_350_A_4_B_2</v>
      </c>
    </row>
    <row r="54" spans="1:8" x14ac:dyDescent="0.3">
      <c r="A54" s="2">
        <v>53</v>
      </c>
      <c r="B54" s="2">
        <f>VALUE(MID(H54,3,FIND("_A_",H54)-3))</f>
        <v>350</v>
      </c>
      <c r="C54" s="2">
        <f>VALUE(MID(H54,FIND("_A_",H54)+3,FIND("_B_",H54)-FIND("_A_",H54)-3))</f>
        <v>3</v>
      </c>
      <c r="D54" s="2">
        <f>VALUE(MID(H54,FIND("_B_",H54)+3,10))</f>
        <v>2</v>
      </c>
      <c r="E54" s="2" cm="1" t="str">
        <f t="array" ref="E54">_xlfn.TEXTJOIN(" | ", TRUE, _xlfn._xlws.FILTER(Diario_D!$J$2:$J$1000, Diario_D!$M$2:$M$1000=H54, ""))</f>
        <v>PvP (1-0) Barcos (0-2) | PvP (0-1) Barcos (2-0)</v>
      </c>
      <c r="F54" s="2" t="s">
        <v>11</v>
      </c>
      <c r="G54" s="2">
        <f>COUNTIF(Diario_D!$M$3:$M$112,H54)</f>
        <v>2</v>
      </c>
      <c r="H54" s="2" t="str">
        <v>M_350_A_3_B_2</v>
      </c>
    </row>
    <row r="55" spans="1:8" x14ac:dyDescent="0.3">
      <c r="A55" s="2">
        <v>54</v>
      </c>
      <c r="B55" s="2">
        <f>VALUE(MID(H55,3,FIND("_A_",H55)-3))</f>
        <v>325</v>
      </c>
      <c r="C55" s="2">
        <f>VALUE(MID(H55,FIND("_A_",H55)+3,FIND("_B_",H55)-FIND("_A_",H55)-3))</f>
        <v>4</v>
      </c>
      <c r="D55" s="2">
        <f>VALUE(MID(H55,FIND("_B_",H55)+3,10))</f>
        <v>3</v>
      </c>
      <c r="E55" s="2" cm="1" t="str">
        <f t="array" ref="E55">_xlfn.TEXTJOIN(" | ", TRUE, _xlfn._xlws.FILTER(Diario_D!$J$2:$J$1000, Diario_D!$M$2:$M$1000=H55, ""))</f>
        <v>PvP (0-1) Barcos (0-3)</v>
      </c>
      <c r="F55" s="2" t="s">
        <v>11</v>
      </c>
      <c r="G55" s="2">
        <f>COUNTIF(Diario_D!$M$3:$M$112,H55)</f>
        <v>1</v>
      </c>
      <c r="H55" s="2" t="str">
        <v>M_325_A_4_B_3</v>
      </c>
    </row>
    <row r="56" spans="1:8" x14ac:dyDescent="0.3">
      <c r="A56" s="2">
        <v>55</v>
      </c>
      <c r="B56" s="2">
        <f>VALUE(MID(H56,3,FIND("_A_",H56)-3))</f>
        <v>325</v>
      </c>
      <c r="C56" s="2">
        <f>VALUE(MID(H56,FIND("_A_",H56)+3,FIND("_B_",H56)-FIND("_A_",H56)-3))</f>
        <v>3</v>
      </c>
      <c r="D56" s="2">
        <f>VALUE(MID(H56,FIND("_B_",H56)+3,10))</f>
        <v>3</v>
      </c>
      <c r="E56" s="2" cm="1" t="str">
        <f t="array" ref="E56">_xlfn.TEXTJOIN(" | ", TRUE, _xlfn._xlws.FILTER(Diario_D!$J$2:$J$1000, Diario_D!$M$2:$M$1000=H56, ""))</f>
        <v>Barcos (2-1)</v>
      </c>
      <c r="F56" s="2" t="s">
        <v>11</v>
      </c>
      <c r="G56" s="2">
        <f>COUNTIF(Diario_D!$M$3:$M$112,H56)</f>
        <v>1</v>
      </c>
      <c r="H56" s="2" t="str">
        <v>M_325_A_3_B_3</v>
      </c>
    </row>
    <row r="57" spans="1:8" x14ac:dyDescent="0.3">
      <c r="A57" s="2">
        <v>56</v>
      </c>
      <c r="B57" s="2">
        <f>VALUE(MID(H57,3,FIND("_A_",H57)-3))</f>
        <v>325</v>
      </c>
      <c r="C57" s="2">
        <f>VALUE(MID(H57,FIND("_A_",H57)+3,FIND("_B_",H57)-FIND("_A_",H57)-3))</f>
        <v>3</v>
      </c>
      <c r="D57" s="2">
        <f>VALUE(MID(H57,FIND("_B_",H57)+3,10))</f>
        <v>1</v>
      </c>
      <c r="E57" s="2" cm="1" t="str">
        <f t="array" ref="E57">_xlfn.TEXTJOIN(" | ", TRUE, _xlfn._xlws.FILTER(Diario_D!$J$2:$J$1000, Diario_D!$M$2:$M$1000=H57, ""))</f>
        <v>Duelo (0-2) Barcos (1-0) | PvP (0-2) Barcos (1-0)</v>
      </c>
      <c r="F57" s="2" t="s">
        <v>11</v>
      </c>
      <c r="G57" s="2">
        <f>COUNTIF(Diario_D!$M$3:$M$112,H57)</f>
        <v>2</v>
      </c>
      <c r="H57" s="2" t="str">
        <v>M_325_A_3_B_1</v>
      </c>
    </row>
    <row r="58" spans="1:8" x14ac:dyDescent="0.3">
      <c r="A58" s="2">
        <v>57</v>
      </c>
      <c r="B58" s="2">
        <f>VALUE(MID(H58,3,FIND("_A_",H58)-3))</f>
        <v>325</v>
      </c>
      <c r="C58" s="2">
        <f>VALUE(MID(H58,FIND("_A_",H58)+3,FIND("_B_",H58)-FIND("_A_",H58)-3))</f>
        <v>2</v>
      </c>
      <c r="D58" s="2">
        <f>VALUE(MID(H58,FIND("_B_",H58)+3,10))</f>
        <v>1</v>
      </c>
      <c r="E58" s="2" cm="1" t="str">
        <f t="array" ref="E58">_xlfn.TEXTJOIN(" | ", TRUE, _xlfn._xlws.FILTER(Diario_D!$J$2:$J$1000, Diario_D!$M$2:$M$1000=H58, ""))</f>
        <v>PvP (1-0) Barcos (1-0)</v>
      </c>
      <c r="F58" s="2" t="s">
        <v>11</v>
      </c>
      <c r="G58" s="2">
        <f>COUNTIF(Diario_D!$M$3:$M$112,H58)</f>
        <v>1</v>
      </c>
      <c r="H58" s="2" t="str">
        <v>M_325_A_2_B_1</v>
      </c>
    </row>
    <row r="59" spans="1:8" x14ac:dyDescent="0.3">
      <c r="A59" s="2">
        <v>58</v>
      </c>
      <c r="B59" s="2">
        <f>VALUE(MID(H59,3,FIND("_A_",H59)-3))</f>
        <v>300</v>
      </c>
      <c r="C59" s="2">
        <f>VALUE(MID(H59,FIND("_A_",H59)+3,FIND("_B_",H59)-FIND("_A_",H59)-3))</f>
        <v>4</v>
      </c>
      <c r="D59" s="2">
        <f>VALUE(MID(H59,FIND("_B_",H59)+3,10))</f>
        <v>4</v>
      </c>
      <c r="E59" s="2" cm="1" t="str">
        <f t="array" ref="E59">_xlfn.TEXTJOIN(" | ", TRUE, _xlfn._xlws.FILTER(Diario_D!$J$2:$J$1000, Diario_D!$M$2:$M$1000=H59, ""))</f>
        <v>Barcos (0-4)</v>
      </c>
      <c r="F59" s="2" t="s">
        <v>11</v>
      </c>
      <c r="G59" s="2">
        <f>COUNTIF(Diario_D!$M$3:$M$112,H59)</f>
        <v>1</v>
      </c>
      <c r="H59" s="2" t="str">
        <v>M_300_A_4_B_4</v>
      </c>
    </row>
    <row r="60" spans="1:8" x14ac:dyDescent="0.3">
      <c r="A60" s="2">
        <v>59</v>
      </c>
      <c r="B60" s="2">
        <f>VALUE(MID(H60,3,FIND("_A_",H60)-3))</f>
        <v>300</v>
      </c>
      <c r="C60" s="2">
        <f>VALUE(MID(H60,FIND("_A_",H60)+3,FIND("_B_",H60)-FIND("_A_",H60)-3))</f>
        <v>3</v>
      </c>
      <c r="D60" s="2">
        <f>VALUE(MID(H60,FIND("_B_",H60)+3,10))</f>
        <v>2</v>
      </c>
      <c r="E60" s="2" cm="1" t="str">
        <f t="array" ref="E60">_xlfn.TEXTJOIN(" | ", TRUE, _xlfn._xlws.FILTER(Diario_D!$J$2:$J$1000, Diario_D!$M$2:$M$1000=H60, ""))</f>
        <v>PvP (0-1) Barcos (1-1)</v>
      </c>
      <c r="F60" s="2" t="s">
        <v>11</v>
      </c>
      <c r="G60" s="2">
        <f>COUNTIF(Diario_D!$M$3:$M$112,H60)</f>
        <v>1</v>
      </c>
      <c r="H60" s="2" t="str">
        <v>M_300_A_3_B_2</v>
      </c>
    </row>
    <row r="61" spans="1:8" x14ac:dyDescent="0.3">
      <c r="A61" s="2">
        <v>60</v>
      </c>
      <c r="B61" s="2">
        <f>VALUE(MID(H61,3,FIND("_A_",H61)-3))</f>
        <v>300</v>
      </c>
      <c r="C61" s="2">
        <f>VALUE(MID(H61,FIND("_A_",H61)+3,FIND("_B_",H61)-FIND("_A_",H61)-3))</f>
        <v>3</v>
      </c>
      <c r="D61" s="2">
        <f>VALUE(MID(H61,FIND("_B_",H61)+3,10))</f>
        <v>0</v>
      </c>
      <c r="E61" s="2" cm="1" t="str">
        <f t="array" ref="E61">_xlfn.TEXTJOIN(" | ", TRUE, _xlfn._xlws.FILTER(Diario_D!$J$2:$J$1000, Diario_D!$M$2:$M$1000=H61, ""))</f>
        <v>PvP (0-1) Duelo (0-2) | PvP (0-3)</v>
      </c>
      <c r="F61" s="2" t="s">
        <v>11</v>
      </c>
      <c r="G61" s="2">
        <f>COUNTIF(Diario_D!$M$3:$M$112,H61)</f>
        <v>2</v>
      </c>
      <c r="H61" s="2" t="str">
        <v>M_300_A_3_B_0</v>
      </c>
    </row>
    <row r="62" spans="1:8" x14ac:dyDescent="0.3">
      <c r="A62" s="2">
        <v>61</v>
      </c>
      <c r="B62" s="2">
        <f>VALUE(MID(H62,3,FIND("_A_",H62)-3))</f>
        <v>300</v>
      </c>
      <c r="C62" s="2">
        <f>VALUE(MID(H62,FIND("_A_",H62)+3,FIND("_B_",H62)-FIND("_A_",H62)-3))</f>
        <v>2</v>
      </c>
      <c r="D62" s="2">
        <f>VALUE(MID(H62,FIND("_B_",H62)+3,10))</f>
        <v>0</v>
      </c>
      <c r="E62" s="2" cm="1" t="str">
        <f t="array" ref="E62">_xlfn.TEXTJOIN(" | ", TRUE, _xlfn._xlws.FILTER(Diario_D!$J$2:$J$1000, Diario_D!$M$2:$M$1000=H62, ""))</f>
        <v>PvP (1-1)</v>
      </c>
      <c r="F62" s="2" t="s">
        <v>11</v>
      </c>
      <c r="G62" s="2">
        <f>COUNTIF(Diario_D!$M$3:$M$112,H62)</f>
        <v>1</v>
      </c>
      <c r="H62" s="2" t="str">
        <v>M_300_A_2_B_0</v>
      </c>
    </row>
    <row r="63" spans="1:8" x14ac:dyDescent="0.3">
      <c r="A63" s="2">
        <v>62</v>
      </c>
      <c r="B63" s="2">
        <f>VALUE(MID(H63,3,FIND("_A_",H63)-3))</f>
        <v>275</v>
      </c>
      <c r="C63" s="2">
        <f>VALUE(MID(H63,FIND("_A_",H63)+3,FIND("_B_",H63)-FIND("_A_",H63)-3))</f>
        <v>3</v>
      </c>
      <c r="D63" s="2">
        <f>VALUE(MID(H63,FIND("_B_",H63)+3,10))</f>
        <v>3</v>
      </c>
      <c r="E63" s="2" cm="1" t="str">
        <f t="array" ref="E63">_xlfn.TEXTJOIN(" | ", TRUE, _xlfn._xlws.FILTER(Diario_D!$J$2:$J$1000, Diario_D!$M$2:$M$1000=H63, ""))</f>
        <v>Barcos (1-2)</v>
      </c>
      <c r="F63" s="2" t="s">
        <v>11</v>
      </c>
      <c r="G63" s="2">
        <f>COUNTIF(Diario_D!$M$3:$M$112,H63)</f>
        <v>1</v>
      </c>
      <c r="H63" s="2" t="str">
        <v>M_275_A_3_B_3</v>
      </c>
    </row>
    <row r="64" spans="1:8" x14ac:dyDescent="0.3">
      <c r="A64" s="2">
        <v>63</v>
      </c>
      <c r="B64" s="2">
        <f>VALUE(MID(H64,3,FIND("_A_",H64)-3))</f>
        <v>275</v>
      </c>
      <c r="C64" s="2">
        <f>VALUE(MID(H64,FIND("_A_",H64)+3,FIND("_B_",H64)-FIND("_A_",H64)-3))</f>
        <v>3</v>
      </c>
      <c r="D64" s="2">
        <f>VALUE(MID(H64,FIND("_B_",H64)+3,10))</f>
        <v>1</v>
      </c>
      <c r="E64" s="2" cm="1" t="str">
        <f t="array" ref="E64">_xlfn.TEXTJOIN(" | ", TRUE, _xlfn._xlws.FILTER(Diario_D!$J$2:$J$1000, Diario_D!$M$2:$M$1000=H64, ""))</f>
        <v>Duelo (0-2) Barcos (0-1) | PvP (0-2) Barcos (0-1)</v>
      </c>
      <c r="F64" s="2" t="s">
        <v>11</v>
      </c>
      <c r="G64" s="2">
        <f>COUNTIF(Diario_D!$M$3:$M$112,H64)</f>
        <v>2</v>
      </c>
      <c r="H64" s="2" t="str">
        <v>M_275_A_3_B_1</v>
      </c>
    </row>
    <row r="65" spans="1:8" x14ac:dyDescent="0.3">
      <c r="A65" s="2">
        <v>64</v>
      </c>
      <c r="B65" s="2">
        <f>VALUE(MID(H65,3,FIND("_A_",H65)-3))</f>
        <v>275</v>
      </c>
      <c r="C65" s="2">
        <f>VALUE(MID(H65,FIND("_A_",H65)+3,FIND("_B_",H65)-FIND("_A_",H65)-3))</f>
        <v>2</v>
      </c>
      <c r="D65" s="2">
        <f>VALUE(MID(H65,FIND("_B_",H65)+3,10))</f>
        <v>1</v>
      </c>
      <c r="E65" s="2" cm="1" t="str">
        <f t="array" ref="E65">_xlfn.TEXTJOIN(" | ", TRUE, _xlfn._xlws.FILTER(Diario_D!$J$2:$J$1000, Diario_D!$M$2:$M$1000=H65, ""))</f>
        <v>PvP (1-0) Barcos (0-1)</v>
      </c>
      <c r="F65" s="2" t="s">
        <v>11</v>
      </c>
      <c r="G65" s="2">
        <f>COUNTIF(Diario_D!$M$3:$M$112,H65)</f>
        <v>1</v>
      </c>
      <c r="H65" s="2" t="str">
        <v>M_275_A_2_B_1</v>
      </c>
    </row>
    <row r="66" spans="1:8" x14ac:dyDescent="0.3">
      <c r="A66" s="2">
        <v>65</v>
      </c>
      <c r="B66" s="2">
        <f>VALUE(MID(H66,3,FIND("_A_",H66)-3))</f>
        <v>250</v>
      </c>
      <c r="C66" s="2">
        <f>VALUE(MID(H66,FIND("_A_",H66)+3,FIND("_B_",H66)-FIND("_A_",H66)-3))</f>
        <v>3</v>
      </c>
      <c r="D66" s="2">
        <f>VALUE(MID(H66,FIND("_B_",H66)+3,10))</f>
        <v>2</v>
      </c>
      <c r="E66" s="2" cm="1" t="str">
        <f t="array" ref="E66">_xlfn.TEXTJOIN(" | ", TRUE, _xlfn._xlws.FILTER(Diario_D!$J$2:$J$1000, Diario_D!$M$2:$M$1000=H66, ""))</f>
        <v>PvP (0-1) Barcos (0-2)</v>
      </c>
      <c r="F66" s="2" t="s">
        <v>11</v>
      </c>
      <c r="G66" s="2">
        <f>COUNTIF(Diario_D!$M$3:$M$112,H66)</f>
        <v>1</v>
      </c>
      <c r="H66" s="2" t="str">
        <v>M_250_A_3_B_2</v>
      </c>
    </row>
    <row r="67" spans="1:8" x14ac:dyDescent="0.3">
      <c r="A67" s="2">
        <v>66</v>
      </c>
      <c r="B67" s="2">
        <f>VALUE(MID(H67,3,FIND("_A_",H67)-3))</f>
        <v>250</v>
      </c>
      <c r="C67" s="2">
        <f>VALUE(MID(H67,FIND("_A_",H67)+3,FIND("_B_",H67)-FIND("_A_",H67)-3))</f>
        <v>2</v>
      </c>
      <c r="D67" s="2">
        <f>VALUE(MID(H67,FIND("_B_",H67)+3,10))</f>
        <v>2</v>
      </c>
      <c r="E67" s="2" cm="1" t="str">
        <f t="array" ref="E67">_xlfn.TEXTJOIN(" | ", TRUE, _xlfn._xlws.FILTER(Diario_D!$J$2:$J$1000, Diario_D!$M$2:$M$1000=H67, ""))</f>
        <v>Barcos (2-0)</v>
      </c>
      <c r="F67" s="2" t="s">
        <v>11</v>
      </c>
      <c r="G67" s="2">
        <f>COUNTIF(Diario_D!$M$3:$M$112,H67)</f>
        <v>1</v>
      </c>
      <c r="H67" s="2" t="str">
        <v>M_250_A_2_B_2</v>
      </c>
    </row>
    <row r="68" spans="1:8" x14ac:dyDescent="0.3">
      <c r="A68" s="2">
        <v>67</v>
      </c>
      <c r="B68" s="2">
        <f>VALUE(MID(H68,3,FIND("_A_",H68)-3))</f>
        <v>225</v>
      </c>
      <c r="C68" s="2">
        <f>VALUE(MID(H68,FIND("_A_",H68)+3,FIND("_B_",H68)-FIND("_A_",H68)-3))</f>
        <v>3</v>
      </c>
      <c r="D68" s="2">
        <f>VALUE(MID(H68,FIND("_B_",H68)+3,10))</f>
        <v>3</v>
      </c>
      <c r="E68" s="2" cm="1" t="str">
        <f t="array" ref="E68">_xlfn.TEXTJOIN(" | ", TRUE, _xlfn._xlws.FILTER(Diario_D!$J$2:$J$1000, Diario_D!$M$2:$M$1000=H68, ""))</f>
        <v>Barcos (0-3)</v>
      </c>
      <c r="F68" s="2" t="s">
        <v>11</v>
      </c>
      <c r="G68" s="2">
        <f>COUNTIF(Diario_D!$M$3:$M$112,H68)</f>
        <v>1</v>
      </c>
      <c r="H68" s="2" t="str">
        <v>M_225_A_3_B_3</v>
      </c>
    </row>
    <row r="69" spans="1:8" x14ac:dyDescent="0.3">
      <c r="A69" s="2">
        <v>68</v>
      </c>
      <c r="B69" s="2">
        <f>VALUE(MID(H69,3,FIND("_A_",H69)-3))</f>
        <v>225</v>
      </c>
      <c r="C69" s="2">
        <f>VALUE(MID(H69,FIND("_A_",H69)+3,FIND("_B_",H69)-FIND("_A_",H69)-3))</f>
        <v>2</v>
      </c>
      <c r="D69" s="2">
        <f>VALUE(MID(H69,FIND("_B_",H69)+3,10))</f>
        <v>1</v>
      </c>
      <c r="E69" s="2" cm="1" t="str">
        <f t="array" ref="E69">_xlfn.TEXTJOIN(" | ", TRUE, _xlfn._xlws.FILTER(Diario_D!$J$2:$J$1000, Diario_D!$M$2:$M$1000=H69, ""))</f>
        <v>PvP (0-1) Barcos (1-0)</v>
      </c>
      <c r="F69" s="2" t="s">
        <v>11</v>
      </c>
      <c r="G69" s="2">
        <f>COUNTIF(Diario_D!$M$3:$M$112,H69)</f>
        <v>1</v>
      </c>
      <c r="H69" s="2" t="str">
        <v>M_225_A_2_B_1</v>
      </c>
    </row>
    <row r="70" spans="1:8" x14ac:dyDescent="0.3">
      <c r="A70" s="2">
        <v>69</v>
      </c>
      <c r="B70" s="2">
        <f>VALUE(MID(H70,3,FIND("_A_",H70)-3))</f>
        <v>200</v>
      </c>
      <c r="C70" s="2">
        <f>VALUE(MID(H70,FIND("_A_",H70)+3,FIND("_B_",H70)-FIND("_A_",H70)-3))</f>
        <v>2</v>
      </c>
      <c r="D70" s="2">
        <f>VALUE(MID(H70,FIND("_B_",H70)+3,10))</f>
        <v>2</v>
      </c>
      <c r="E70" s="2" cm="1" t="str">
        <f t="array" ref="E70">_xlfn.TEXTJOIN(" | ", TRUE, _xlfn._xlws.FILTER(Diario_D!$J$2:$J$1000, Diario_D!$M$2:$M$1000=H70, ""))</f>
        <v>Barcos (1-1)</v>
      </c>
      <c r="F70" s="2" t="s">
        <v>11</v>
      </c>
      <c r="G70" s="2">
        <f>COUNTIF(Diario_D!$M$3:$M$112,H70)</f>
        <v>1</v>
      </c>
      <c r="H70" s="2" t="str">
        <v>M_200_A_2_B_2</v>
      </c>
    </row>
    <row r="71" spans="1:8" x14ac:dyDescent="0.3">
      <c r="A71" s="2">
        <v>70</v>
      </c>
      <c r="B71" s="2">
        <f>VALUE(MID(H71,3,FIND("_A_",H71)-3))</f>
        <v>200</v>
      </c>
      <c r="C71" s="2">
        <f>VALUE(MID(H71,FIND("_A_",H71)+3,FIND("_B_",H71)-FIND("_A_",H71)-3))</f>
        <v>2</v>
      </c>
      <c r="D71" s="2">
        <f>VALUE(MID(H71,FIND("_B_",H71)+3,10))</f>
        <v>0</v>
      </c>
      <c r="E71" s="2" cm="1" t="str">
        <f t="array" ref="E71">_xlfn.TEXTJOIN(" | ", TRUE, _xlfn._xlws.FILTER(Diario_D!$J$2:$J$1000, Diario_D!$M$2:$M$1000=H71, ""))</f>
        <v>Duelo (0-2) | PvP (0-2)</v>
      </c>
      <c r="F71" s="2" t="s">
        <v>11</v>
      </c>
      <c r="G71" s="2">
        <f>COUNTIF(Diario_D!$M$3:$M$112,H71)</f>
        <v>2</v>
      </c>
      <c r="H71" s="2" t="str">
        <v>M_200_A_2_B_0</v>
      </c>
    </row>
    <row r="72" spans="1:8" x14ac:dyDescent="0.3">
      <c r="A72" s="2">
        <v>71</v>
      </c>
      <c r="B72" s="2">
        <f>VALUE(MID(H72,3,FIND("_A_",H72)-3))</f>
        <v>200</v>
      </c>
      <c r="C72" s="2">
        <f>VALUE(MID(H72,FIND("_A_",H72)+3,FIND("_B_",H72)-FIND("_A_",H72)-3))</f>
        <v>1</v>
      </c>
      <c r="D72" s="2">
        <f>VALUE(MID(H72,FIND("_B_",H72)+3,10))</f>
        <v>0</v>
      </c>
      <c r="E72" s="2" cm="1" t="str">
        <f t="array" ref="E72">_xlfn.TEXTJOIN(" | ", TRUE, _xlfn._xlws.FILTER(Diario_D!$J$2:$J$1000, Diario_D!$M$2:$M$1000=H72, ""))</f>
        <v>PvP (1-0)</v>
      </c>
      <c r="F72" s="2" t="s">
        <v>11</v>
      </c>
      <c r="G72" s="2">
        <f>COUNTIF(Diario_D!$M$3:$M$112,H72)</f>
        <v>1</v>
      </c>
      <c r="H72" s="2" t="str">
        <v>M_200_A_1_B_0</v>
      </c>
    </row>
    <row r="73" spans="1:8" x14ac:dyDescent="0.3">
      <c r="A73" s="2">
        <v>72</v>
      </c>
      <c r="B73" s="2">
        <f>VALUE(MID(H73,3,FIND("_A_",H73)-3))</f>
        <v>175</v>
      </c>
      <c r="C73" s="2">
        <f>VALUE(MID(H73,FIND("_A_",H73)+3,FIND("_B_",H73)-FIND("_A_",H73)-3))</f>
        <v>2</v>
      </c>
      <c r="D73" s="2">
        <f>VALUE(MID(H73,FIND("_B_",H73)+3,10))</f>
        <v>1</v>
      </c>
      <c r="E73" s="2" cm="1" t="str">
        <f t="array" ref="E73">_xlfn.TEXTJOIN(" | ", TRUE, _xlfn._xlws.FILTER(Diario_D!$J$2:$J$1000, Diario_D!$M$2:$M$1000=H73, ""))</f>
        <v>PvP (0-1) Barcos (0-1)</v>
      </c>
      <c r="F73" s="2" t="s">
        <v>11</v>
      </c>
      <c r="G73" s="2">
        <f>COUNTIF(Diario_D!$M$3:$M$112,H73)</f>
        <v>1</v>
      </c>
      <c r="H73" s="2" t="str">
        <v>M_175_A_2_B_1</v>
      </c>
    </row>
    <row r="74" spans="1:8" x14ac:dyDescent="0.3">
      <c r="A74" s="2">
        <v>73</v>
      </c>
      <c r="B74" s="2">
        <f>VALUE(MID(H74,3,FIND("_A_",H74)-3))</f>
        <v>150</v>
      </c>
      <c r="C74" s="2">
        <f>VALUE(MID(H74,FIND("_A_",H74)+3,FIND("_B_",H74)-FIND("_A_",H74)-3))</f>
        <v>2</v>
      </c>
      <c r="D74" s="2">
        <f>VALUE(MID(H74,FIND("_B_",H74)+3,10))</f>
        <v>2</v>
      </c>
      <c r="E74" s="2" cm="1" t="str">
        <f t="array" ref="E74">_xlfn.TEXTJOIN(" | ", TRUE, _xlfn._xlws.FILTER(Diario_D!$J$2:$J$1000, Diario_D!$M$2:$M$1000=H74, ""))</f>
        <v>Barcos (0-2)</v>
      </c>
      <c r="F74" s="2" t="s">
        <v>11</v>
      </c>
      <c r="G74" s="2">
        <f>COUNTIF(Diario_D!$M$3:$M$112,H74)</f>
        <v>1</v>
      </c>
      <c r="H74" s="2" t="str">
        <v>M_150_A_2_B_2</v>
      </c>
    </row>
    <row r="75" spans="1:8" x14ac:dyDescent="0.3">
      <c r="A75" s="2">
        <v>74</v>
      </c>
      <c r="B75" s="2">
        <f>VALUE(MID(H75,3,FIND("_A_",H75)-3))</f>
        <v>125</v>
      </c>
      <c r="C75" s="2">
        <f>VALUE(MID(H75,FIND("_A_",H75)+3,FIND("_B_",H75)-FIND("_A_",H75)-3))</f>
        <v>1</v>
      </c>
      <c r="D75" s="2">
        <f>VALUE(MID(H75,FIND("_B_",H75)+3,10))</f>
        <v>1</v>
      </c>
      <c r="E75" s="2" cm="1" t="str">
        <f t="array" ref="E75">_xlfn.TEXTJOIN(" | ", TRUE, _xlfn._xlws.FILTER(Diario_D!$J$2:$J$1000, Diario_D!$M$2:$M$1000=H75, ""))</f>
        <v>Barcos (1-0)</v>
      </c>
      <c r="F75" s="2" t="s">
        <v>11</v>
      </c>
      <c r="G75" s="2">
        <f>COUNTIF(Diario_D!$M$3:$M$112,H75)</f>
        <v>1</v>
      </c>
      <c r="H75" s="2" t="str">
        <v>M_125_A_1_B_1</v>
      </c>
    </row>
    <row r="76" spans="1:8" x14ac:dyDescent="0.3">
      <c r="A76" s="2">
        <v>75</v>
      </c>
      <c r="B76" s="2">
        <f>VALUE(MID(H76,3,FIND("_A_",H76)-3))</f>
        <v>100</v>
      </c>
      <c r="C76" s="2">
        <f>VALUE(MID(H76,FIND("_A_",H76)+3,FIND("_B_",H76)-FIND("_A_",H76)-3))</f>
        <v>1</v>
      </c>
      <c r="D76" s="2">
        <f>VALUE(MID(H76,FIND("_B_",H76)+3,10))</f>
        <v>0</v>
      </c>
      <c r="E76" s="2" cm="1" t="str">
        <f t="array" ref="E76">_xlfn.TEXTJOIN(" | ", TRUE, _xlfn._xlws.FILTER(Diario_D!$J$2:$J$1000, Diario_D!$M$2:$M$1000=H76, ""))</f>
        <v>PvP (0-1)</v>
      </c>
      <c r="F76" s="2" t="s">
        <v>11</v>
      </c>
      <c r="G76" s="2">
        <f>COUNTIF(Diario_D!$M$3:$M$112,H76)</f>
        <v>1</v>
      </c>
      <c r="H76" s="2" t="str">
        <v>M_100_A_1_B_0</v>
      </c>
    </row>
    <row r="77" spans="1:8" x14ac:dyDescent="0.3">
      <c r="A77" s="2">
        <v>76</v>
      </c>
      <c r="B77" s="2">
        <f>VALUE(MID(H77,3,FIND("_A_",H77)-3))</f>
        <v>75</v>
      </c>
      <c r="C77" s="2">
        <f>VALUE(MID(H77,FIND("_A_",H77)+3,FIND("_B_",H77)-FIND("_A_",H77)-3))</f>
        <v>1</v>
      </c>
      <c r="D77" s="2">
        <f>VALUE(MID(H77,FIND("_B_",H77)+3,10))</f>
        <v>1</v>
      </c>
      <c r="E77" s="2" cm="1" t="str">
        <f t="array" ref="E77">_xlfn.TEXTJOIN(" | ", TRUE, _xlfn._xlws.FILTER(Diario_D!$J$2:$J$1000, Diario_D!$M$2:$M$1000=H77, ""))</f>
        <v>Barcos (0-1)</v>
      </c>
      <c r="F77" s="2" t="s">
        <v>11</v>
      </c>
      <c r="G77" s="2">
        <f>COUNTIF(Diario_D!$M$3:$M$112,H77)</f>
        <v>1</v>
      </c>
      <c r="H77" s="2" t="str">
        <v>M_075_A_1_B_1</v>
      </c>
    </row>
    <row r="78" spans="1:8" x14ac:dyDescent="0.3">
      <c r="A78" s="2">
        <v>77</v>
      </c>
      <c r="B78" s="2">
        <f>VALUE(MID(H78,3,FIND("_A_",H78)-3))</f>
        <v>0</v>
      </c>
      <c r="C78" s="2">
        <f>VALUE(MID(H78,FIND("_A_",H78)+3,FIND("_B_",H78)-FIND("_A_",H78)-3))</f>
        <v>0</v>
      </c>
      <c r="D78" s="2">
        <f>VALUE(MID(H78,FIND("_B_",H78)+3,10))</f>
        <v>0</v>
      </c>
      <c r="E78" s="2" cm="1" t="str">
        <f t="array" ref="E78">_xlfn.TEXTJOIN(" | ", TRUE, _xlfn._xlws.FILTER(Diario_D!$J$2:$J$1000, Diario_D!$M$2:$M$1000=H78, ""))</f>
        <v>Sin ataques</v>
      </c>
      <c r="F78" s="2" t="s">
        <v>11</v>
      </c>
      <c r="G78" s="2">
        <f>COUNTIF(Diario_D!$M$3:$M$112,H78)</f>
        <v>1</v>
      </c>
      <c r="H78" s="2" t="str">
        <v>M_000_A_0_B_0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Diario_D</vt:lpstr>
      <vt:lpstr>Diario_C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Diana Milagros Gallegos Pinedo</dc:creator>
  <cp:lastModifiedBy>Diana Milagros Gallegos Pinedo</cp:lastModifiedBy>
  <dcterms:created xsi:type="dcterms:W3CDTF">2026-10-18T19:04:16Z</dcterms:created>
  <dcterms:modified xsi:type="dcterms:W3CDTF">2026-10-18T23:02:40Z</dcterms:modified>
</cp:coreProperties>
</file>