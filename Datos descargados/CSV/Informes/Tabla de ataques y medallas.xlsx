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na\Downloads\"/>
    </mc:Choice>
  </mc:AlternateContent>
  <xr:revisionPtr revIDLastSave="0" documentId="13_ncr:1_{69438246-C9F2-4C4D-9F7C-E57E445D52DC}" xr6:coauthVersionLast="47" xr6:coauthVersionMax="47" xr10:uidLastSave="{00000000-0000-0000-0000-000000000000}"/>
  <bookViews>
    <workbookView xWindow="28680" yWindow="-900" windowWidth="24240" windowHeight="13020" xr2:uid="{A6DE0779-569C-4646-B448-8159B7B93D36}"/>
  </bookViews>
  <sheets>
    <sheet name="Diario_D" sheetId="2" r:id="rId1"/>
    <sheet name="Diario_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3" l="1" a="1"/>
  <c r="E13" i="3" s="1"/>
  <c r="E14" i="3" a="1"/>
  <c r="E14" i="3" s="1"/>
  <c r="E15" i="3" a="1"/>
  <c r="E15" i="3" s="1"/>
  <c r="E16" i="3" a="1"/>
  <c r="E16" i="3" s="1"/>
  <c r="E17" i="3" a="1"/>
  <c r="E17" i="3" s="1"/>
  <c r="E18" i="3" a="1"/>
  <c r="E18" i="3" s="1"/>
  <c r="E19" i="3" a="1"/>
  <c r="E19" i="3" s="1"/>
  <c r="E20" i="3" a="1"/>
  <c r="E20" i="3" s="1"/>
  <c r="E21" i="3" a="1"/>
  <c r="E21" i="3" s="1"/>
  <c r="E22" i="3" a="1"/>
  <c r="E22" i="3" s="1"/>
  <c r="E23" i="3" a="1"/>
  <c r="E23" i="3" s="1"/>
  <c r="E24" i="3" a="1"/>
  <c r="E24" i="3" s="1"/>
  <c r="E25" i="3" a="1"/>
  <c r="E25" i="3" s="1"/>
  <c r="E26" i="3" a="1"/>
  <c r="E26" i="3" s="1"/>
  <c r="E27" i="3" a="1"/>
  <c r="E27" i="3" s="1"/>
  <c r="E28" i="3" a="1"/>
  <c r="E28" i="3" s="1"/>
  <c r="E29" i="3" a="1"/>
  <c r="E29" i="3" s="1"/>
  <c r="E30" i="3" a="1"/>
  <c r="E30" i="3" s="1"/>
  <c r="E31" i="3" a="1"/>
  <c r="E31" i="3" s="1"/>
  <c r="E32" i="3" a="1"/>
  <c r="E32" i="3" s="1"/>
  <c r="E33" i="3" a="1"/>
  <c r="E33" i="3" s="1"/>
  <c r="E34" i="3" a="1"/>
  <c r="E34" i="3" s="1"/>
  <c r="E35" i="3" a="1"/>
  <c r="E35" i="3" s="1"/>
  <c r="E36" i="3" a="1"/>
  <c r="E36" i="3" s="1"/>
  <c r="E37" i="3" a="1"/>
  <c r="E37" i="3" s="1"/>
  <c r="E38" i="3" a="1"/>
  <c r="E38" i="3" s="1"/>
  <c r="E39" i="3" a="1"/>
  <c r="E39" i="3" s="1"/>
  <c r="E40" i="3" a="1"/>
  <c r="E40" i="3" s="1"/>
  <c r="E41" i="3" a="1"/>
  <c r="E41" i="3" s="1"/>
  <c r="E42" i="3" a="1"/>
  <c r="E42" i="3" s="1"/>
  <c r="E43" i="3" a="1"/>
  <c r="E43" i="3" s="1"/>
  <c r="E44" i="3" a="1"/>
  <c r="E44" i="3" s="1"/>
  <c r="E45" i="3" a="1"/>
  <c r="E45" i="3" s="1"/>
  <c r="E46" i="3" a="1"/>
  <c r="E46" i="3" s="1"/>
  <c r="E47" i="3" a="1"/>
  <c r="E47" i="3" s="1"/>
  <c r="E48" i="3" a="1"/>
  <c r="E48" i="3" s="1"/>
  <c r="E49" i="3" a="1"/>
  <c r="E49" i="3" s="1"/>
  <c r="E50" i="3" a="1"/>
  <c r="E50" i="3" s="1"/>
  <c r="E51" i="3" a="1"/>
  <c r="E51" i="3" s="1"/>
  <c r="E52" i="3" a="1"/>
  <c r="E52" i="3" s="1"/>
  <c r="E53" i="3" a="1"/>
  <c r="E53" i="3" s="1"/>
  <c r="E54" i="3" a="1"/>
  <c r="E54" i="3" s="1"/>
  <c r="E55" i="3" a="1"/>
  <c r="E55" i="3" s="1"/>
  <c r="E56" i="3" a="1"/>
  <c r="E56" i="3" s="1"/>
  <c r="E57" i="3" a="1"/>
  <c r="E57" i="3" s="1"/>
  <c r="E58" i="3" a="1"/>
  <c r="E58" i="3" s="1"/>
  <c r="E59" i="3" a="1"/>
  <c r="E59" i="3" s="1"/>
  <c r="E60" i="3" a="1"/>
  <c r="E60" i="3" s="1"/>
  <c r="E61" i="3" a="1"/>
  <c r="E61" i="3" s="1"/>
  <c r="E62" i="3" a="1"/>
  <c r="E62" i="3" s="1"/>
  <c r="E63" i="3" a="1"/>
  <c r="E63" i="3" s="1"/>
  <c r="E64" i="3" a="1"/>
  <c r="E64" i="3" s="1"/>
  <c r="E65" i="3" a="1"/>
  <c r="E65" i="3" s="1"/>
  <c r="E66" i="3" a="1"/>
  <c r="E66" i="3" s="1"/>
  <c r="E67" i="3" a="1"/>
  <c r="E67" i="3" s="1"/>
  <c r="E68" i="3" a="1"/>
  <c r="E68" i="3" s="1"/>
  <c r="E69" i="3" a="1"/>
  <c r="E69" i="3" s="1"/>
  <c r="E70" i="3" a="1"/>
  <c r="E70" i="3" s="1"/>
  <c r="E71" i="3" a="1"/>
  <c r="E71" i="3" s="1"/>
  <c r="E72" i="3" a="1"/>
  <c r="E72" i="3" s="1"/>
  <c r="E73" i="3" a="1"/>
  <c r="E73" i="3" s="1"/>
  <c r="E74" i="3" a="1"/>
  <c r="E74" i="3" s="1"/>
  <c r="E75" i="3" a="1"/>
  <c r="E75" i="3" s="1"/>
  <c r="E76" i="3" a="1"/>
  <c r="E76" i="3" s="1"/>
  <c r="E77" i="3" a="1"/>
  <c r="E77" i="3" s="1"/>
  <c r="E78" i="3" a="1"/>
  <c r="E78" i="3" s="1"/>
  <c r="E3" i="3" a="1"/>
  <c r="E3" i="3" s="1"/>
  <c r="E4" i="3" a="1"/>
  <c r="E4" i="3" s="1"/>
  <c r="E5" i="3" a="1"/>
  <c r="E5" i="3" s="1"/>
  <c r="E6" i="3" a="1"/>
  <c r="E6" i="3" s="1"/>
  <c r="E7" i="3" a="1"/>
  <c r="E7" i="3" s="1"/>
  <c r="E8" i="3" a="1"/>
  <c r="E8" i="3" s="1"/>
  <c r="E9" i="3" a="1"/>
  <c r="E9" i="3" s="1"/>
  <c r="E10" i="3" a="1"/>
  <c r="E10" i="3" s="1"/>
  <c r="E11" i="3" a="1"/>
  <c r="E11" i="3" s="1"/>
  <c r="E12" i="3" a="1"/>
  <c r="E12" i="3" s="1"/>
  <c r="E2" i="3" a="1"/>
  <c r="E2" i="3" s="1"/>
  <c r="H2" i="3" a="1"/>
  <c r="H2" i="3" s="1"/>
  <c r="G2" i="3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3" i="2"/>
  <c r="H11" i="2"/>
  <c r="I11" i="2"/>
  <c r="H19" i="2"/>
  <c r="I19" i="2"/>
  <c r="H15" i="2"/>
  <c r="I15" i="2"/>
  <c r="H5" i="2"/>
  <c r="I5" i="2"/>
  <c r="M5" i="2" s="1"/>
  <c r="H34" i="2"/>
  <c r="I34" i="2"/>
  <c r="M34" i="2" s="1"/>
  <c r="H41" i="2"/>
  <c r="I41" i="2"/>
  <c r="M41" i="2" s="1"/>
  <c r="H39" i="2"/>
  <c r="I39" i="2"/>
  <c r="H24" i="2"/>
  <c r="I24" i="2"/>
  <c r="H9" i="2"/>
  <c r="I9" i="2"/>
  <c r="H14" i="2"/>
  <c r="I14" i="2"/>
  <c r="H12" i="2"/>
  <c r="I12" i="2"/>
  <c r="H4" i="2"/>
  <c r="I4" i="2"/>
  <c r="H22" i="2"/>
  <c r="I22" i="2"/>
  <c r="M22" i="2" s="1"/>
  <c r="H20" i="2"/>
  <c r="I20" i="2"/>
  <c r="M20" i="2" s="1"/>
  <c r="H8" i="2"/>
  <c r="I8" i="2"/>
  <c r="H16" i="2"/>
  <c r="I16" i="2"/>
  <c r="H6" i="2"/>
  <c r="I6" i="2"/>
  <c r="H3" i="2"/>
  <c r="I3" i="2"/>
  <c r="H57" i="2"/>
  <c r="I57" i="2"/>
  <c r="H68" i="2"/>
  <c r="I68" i="2"/>
  <c r="M68" i="2" s="1"/>
  <c r="H64" i="2"/>
  <c r="I64" i="2"/>
  <c r="M64" i="2" s="1"/>
  <c r="H42" i="2"/>
  <c r="I42" i="2"/>
  <c r="M42" i="2" s="1"/>
  <c r="H82" i="2"/>
  <c r="I82" i="2"/>
  <c r="H77" i="2"/>
  <c r="I77" i="2"/>
  <c r="M77" i="2" s="1"/>
  <c r="H53" i="2"/>
  <c r="I53" i="2"/>
  <c r="H70" i="2"/>
  <c r="I70" i="2"/>
  <c r="M70" i="2" s="1"/>
  <c r="H47" i="2"/>
  <c r="I47" i="2"/>
  <c r="H28" i="2"/>
  <c r="I28" i="2"/>
  <c r="M28" i="2" s="1"/>
  <c r="H45" i="2"/>
  <c r="I45" i="2"/>
  <c r="M45" i="2" s="1"/>
  <c r="H56" i="2"/>
  <c r="I56" i="2"/>
  <c r="M56" i="2" s="1"/>
  <c r="H52" i="2"/>
  <c r="I52" i="2"/>
  <c r="H33" i="2"/>
  <c r="I33" i="2"/>
  <c r="H67" i="2"/>
  <c r="I67" i="2"/>
  <c r="H63" i="2"/>
  <c r="I63" i="2"/>
  <c r="M63" i="2" s="1"/>
  <c r="H40" i="2"/>
  <c r="I40" i="2"/>
  <c r="H59" i="2"/>
  <c r="I59" i="2"/>
  <c r="M59" i="2" s="1"/>
  <c r="H38" i="2"/>
  <c r="I38" i="2"/>
  <c r="M38" i="2" s="1"/>
  <c r="H23" i="2"/>
  <c r="I23" i="2"/>
  <c r="M23" i="2" s="1"/>
  <c r="H81" i="2"/>
  <c r="I81" i="2"/>
  <c r="H76" i="2"/>
  <c r="I76" i="2"/>
  <c r="H51" i="2"/>
  <c r="I51" i="2"/>
  <c r="H69" i="2"/>
  <c r="I69" i="2"/>
  <c r="M69" i="2" s="1"/>
  <c r="H46" i="2"/>
  <c r="I46" i="2"/>
  <c r="H27" i="2"/>
  <c r="I27" i="2"/>
  <c r="M27" i="2" s="1"/>
  <c r="H65" i="2"/>
  <c r="I65" i="2"/>
  <c r="M65" i="2" s="1"/>
  <c r="H43" i="2"/>
  <c r="I43" i="2"/>
  <c r="M43" i="2" s="1"/>
  <c r="H25" i="2"/>
  <c r="I25" i="2"/>
  <c r="H13" i="2"/>
  <c r="I13" i="2"/>
  <c r="H91" i="2"/>
  <c r="I91" i="2"/>
  <c r="H86" i="2"/>
  <c r="I86" i="2"/>
  <c r="M86" i="2" s="1"/>
  <c r="H62" i="2"/>
  <c r="I62" i="2"/>
  <c r="H83" i="2"/>
  <c r="I83" i="2"/>
  <c r="M83" i="2" s="1"/>
  <c r="H58" i="2"/>
  <c r="I58" i="2"/>
  <c r="M58" i="2" s="1"/>
  <c r="H37" i="2"/>
  <c r="I37" i="2"/>
  <c r="M37" i="2" s="1"/>
  <c r="H78" i="2"/>
  <c r="I78" i="2"/>
  <c r="H54" i="2"/>
  <c r="I54" i="2"/>
  <c r="M54" i="2" s="1"/>
  <c r="H35" i="2"/>
  <c r="I35" i="2"/>
  <c r="H21" i="2"/>
  <c r="I21" i="2"/>
  <c r="M21" i="2" s="1"/>
  <c r="H71" i="2"/>
  <c r="I71" i="2"/>
  <c r="H48" i="2"/>
  <c r="I48" i="2"/>
  <c r="M48" i="2" s="1"/>
  <c r="H29" i="2"/>
  <c r="I29" i="2"/>
  <c r="M29" i="2" s="1"/>
  <c r="H17" i="2"/>
  <c r="I17" i="2"/>
  <c r="M17" i="2" s="1"/>
  <c r="H7" i="2"/>
  <c r="I7" i="2"/>
  <c r="H30" i="2"/>
  <c r="I30" i="2"/>
  <c r="H61" i="2"/>
  <c r="I61" i="2"/>
  <c r="M61" i="2" s="1"/>
  <c r="H26" i="2"/>
  <c r="I26" i="2"/>
  <c r="M26" i="2" s="1"/>
  <c r="H36" i="2"/>
  <c r="I36" i="2"/>
  <c r="H31" i="2"/>
  <c r="I31" i="2"/>
  <c r="M31" i="2" s="1"/>
  <c r="H18" i="2"/>
  <c r="I18" i="2"/>
  <c r="H88" i="2"/>
  <c r="I88" i="2"/>
  <c r="H97" i="2"/>
  <c r="I97" i="2"/>
  <c r="H93" i="2"/>
  <c r="I93" i="2"/>
  <c r="M93" i="2" s="1"/>
  <c r="H73" i="2"/>
  <c r="I73" i="2"/>
  <c r="H79" i="2"/>
  <c r="I79" i="2"/>
  <c r="M79" i="2" s="1"/>
  <c r="H87" i="2"/>
  <c r="I87" i="2"/>
  <c r="H85" i="2"/>
  <c r="I85" i="2"/>
  <c r="M85" i="2" s="1"/>
  <c r="H60" i="2"/>
  <c r="I60" i="2"/>
  <c r="H96" i="2"/>
  <c r="I96" i="2"/>
  <c r="M96" i="2" s="1"/>
  <c r="H92" i="2"/>
  <c r="I92" i="2"/>
  <c r="H72" i="2"/>
  <c r="I72" i="2"/>
  <c r="H89" i="2"/>
  <c r="I89" i="2"/>
  <c r="H66" i="2"/>
  <c r="I66" i="2"/>
  <c r="M66" i="2" s="1"/>
  <c r="H44" i="2"/>
  <c r="I44" i="2"/>
  <c r="H102" i="2"/>
  <c r="I102" i="2"/>
  <c r="M102" i="2" s="1"/>
  <c r="H100" i="2"/>
  <c r="I100" i="2"/>
  <c r="M100" i="2" s="1"/>
  <c r="H84" i="2"/>
  <c r="I84" i="2"/>
  <c r="M84" i="2" s="1"/>
  <c r="H98" i="2"/>
  <c r="I98" i="2"/>
  <c r="H80" i="2"/>
  <c r="I80" i="2"/>
  <c r="H55" i="2"/>
  <c r="I55" i="2"/>
  <c r="H94" i="2"/>
  <c r="I94" i="2"/>
  <c r="M94" i="2" s="1"/>
  <c r="H74" i="2"/>
  <c r="I74" i="2"/>
  <c r="H49" i="2"/>
  <c r="I49" i="2"/>
  <c r="M49" i="2" s="1"/>
  <c r="H32" i="2"/>
  <c r="I32" i="2"/>
  <c r="H50" i="2"/>
  <c r="I50" i="2"/>
  <c r="M50" i="2" s="1"/>
  <c r="H105" i="2"/>
  <c r="I105" i="2"/>
  <c r="H101" i="2"/>
  <c r="I101" i="2"/>
  <c r="H104" i="2"/>
  <c r="I104" i="2"/>
  <c r="H103" i="2"/>
  <c r="I103" i="2"/>
  <c r="M103" i="2" s="1"/>
  <c r="H90" i="2"/>
  <c r="I90" i="2"/>
  <c r="H109" i="2"/>
  <c r="I109" i="2"/>
  <c r="M109" i="2" s="1"/>
  <c r="H108" i="2"/>
  <c r="I108" i="2"/>
  <c r="M108" i="2" s="1"/>
  <c r="H99" i="2"/>
  <c r="I99" i="2"/>
  <c r="M99" i="2" s="1"/>
  <c r="H106" i="2"/>
  <c r="I106" i="2"/>
  <c r="H95" i="2"/>
  <c r="I95" i="2"/>
  <c r="H75" i="2"/>
  <c r="I75" i="2"/>
  <c r="H110" i="2"/>
  <c r="I110" i="2"/>
  <c r="M110" i="2" s="1"/>
  <c r="H10" i="2"/>
  <c r="I10" i="2"/>
  <c r="H111" i="2"/>
  <c r="I111" i="2"/>
  <c r="M111" i="2" s="1"/>
  <c r="H107" i="2"/>
  <c r="I107" i="2"/>
  <c r="H112" i="2"/>
  <c r="I112" i="2"/>
  <c r="B72" i="3" l="1"/>
  <c r="C54" i="3"/>
  <c r="D11" i="3"/>
  <c r="D72" i="3"/>
  <c r="C67" i="3"/>
  <c r="B61" i="3"/>
  <c r="C51" i="3"/>
  <c r="D48" i="3"/>
  <c r="B45" i="3"/>
  <c r="C43" i="3"/>
  <c r="D40" i="3"/>
  <c r="B37" i="3"/>
  <c r="C35" i="3"/>
  <c r="D32" i="3"/>
  <c r="B29" i="3"/>
  <c r="C27" i="3"/>
  <c r="D24" i="3"/>
  <c r="B21" i="3"/>
  <c r="C19" i="3"/>
  <c r="D16" i="3"/>
  <c r="B13" i="3"/>
  <c r="C11" i="3"/>
  <c r="D8" i="3"/>
  <c r="B5" i="3"/>
  <c r="D77" i="3"/>
  <c r="B74" i="3"/>
  <c r="C72" i="3"/>
  <c r="D69" i="3"/>
  <c r="B66" i="3"/>
  <c r="C64" i="3"/>
  <c r="D61" i="3"/>
  <c r="B58" i="3"/>
  <c r="C56" i="3"/>
  <c r="D53" i="3"/>
  <c r="B50" i="3"/>
  <c r="C48" i="3"/>
  <c r="D45" i="3"/>
  <c r="B42" i="3"/>
  <c r="C40" i="3"/>
  <c r="D37" i="3"/>
  <c r="B34" i="3"/>
  <c r="C32" i="3"/>
  <c r="D29" i="3"/>
  <c r="B26" i="3"/>
  <c r="C24" i="3"/>
  <c r="D21" i="3"/>
  <c r="B18" i="3"/>
  <c r="C16" i="3"/>
  <c r="D13" i="3"/>
  <c r="B10" i="3"/>
  <c r="C8" i="3"/>
  <c r="D5" i="3"/>
  <c r="C70" i="3"/>
  <c r="B48" i="3"/>
  <c r="C14" i="3"/>
  <c r="D64" i="3"/>
  <c r="B69" i="3"/>
  <c r="B53" i="3"/>
  <c r="C77" i="3"/>
  <c r="C69" i="3"/>
  <c r="C61" i="3"/>
  <c r="C53" i="3"/>
  <c r="D42" i="3"/>
  <c r="B23" i="3"/>
  <c r="C5" i="3"/>
  <c r="B2" i="3"/>
  <c r="B76" i="3"/>
  <c r="C74" i="3"/>
  <c r="D71" i="3"/>
  <c r="B68" i="3"/>
  <c r="C66" i="3"/>
  <c r="D63" i="3"/>
  <c r="B60" i="3"/>
  <c r="C58" i="3"/>
  <c r="D55" i="3"/>
  <c r="B52" i="3"/>
  <c r="C50" i="3"/>
  <c r="D47" i="3"/>
  <c r="B44" i="3"/>
  <c r="C42" i="3"/>
  <c r="D39" i="3"/>
  <c r="B36" i="3"/>
  <c r="C34" i="3"/>
  <c r="D31" i="3"/>
  <c r="B28" i="3"/>
  <c r="C26" i="3"/>
  <c r="D23" i="3"/>
  <c r="B20" i="3"/>
  <c r="C18" i="3"/>
  <c r="D15" i="3"/>
  <c r="B12" i="3"/>
  <c r="C10" i="3"/>
  <c r="D7" i="3"/>
  <c r="B4" i="3"/>
  <c r="D75" i="3"/>
  <c r="D67" i="3"/>
  <c r="C62" i="3"/>
  <c r="D59" i="3"/>
  <c r="B56" i="3"/>
  <c r="D51" i="3"/>
  <c r="D43" i="3"/>
  <c r="B40" i="3"/>
  <c r="D35" i="3"/>
  <c r="C30" i="3"/>
  <c r="B24" i="3"/>
  <c r="D19" i="3"/>
  <c r="B8" i="3"/>
  <c r="B77" i="3"/>
  <c r="C59" i="3"/>
  <c r="B71" i="3"/>
  <c r="B63" i="3"/>
  <c r="D58" i="3"/>
  <c r="B47" i="3"/>
  <c r="B39" i="3"/>
  <c r="D34" i="3"/>
  <c r="C29" i="3"/>
  <c r="C21" i="3"/>
  <c r="C13" i="3"/>
  <c r="B7" i="3"/>
  <c r="C2" i="3"/>
  <c r="D76" i="3"/>
  <c r="B73" i="3"/>
  <c r="C71" i="3"/>
  <c r="D68" i="3"/>
  <c r="B65" i="3"/>
  <c r="C63" i="3"/>
  <c r="D60" i="3"/>
  <c r="B57" i="3"/>
  <c r="C55" i="3"/>
  <c r="D52" i="3"/>
  <c r="B49" i="3"/>
  <c r="C47" i="3"/>
  <c r="D44" i="3"/>
  <c r="B41" i="3"/>
  <c r="C39" i="3"/>
  <c r="D36" i="3"/>
  <c r="B33" i="3"/>
  <c r="C31" i="3"/>
  <c r="D28" i="3"/>
  <c r="B25" i="3"/>
  <c r="C23" i="3"/>
  <c r="D20" i="3"/>
  <c r="B17" i="3"/>
  <c r="C15" i="3"/>
  <c r="D12" i="3"/>
  <c r="B9" i="3"/>
  <c r="C7" i="3"/>
  <c r="D4" i="3"/>
  <c r="C78" i="3"/>
  <c r="B64" i="3"/>
  <c r="C46" i="3"/>
  <c r="C38" i="3"/>
  <c r="B32" i="3"/>
  <c r="D27" i="3"/>
  <c r="C22" i="3"/>
  <c r="B16" i="3"/>
  <c r="C6" i="3"/>
  <c r="C75" i="3"/>
  <c r="D56" i="3"/>
  <c r="D74" i="3"/>
  <c r="D66" i="3"/>
  <c r="B55" i="3"/>
  <c r="D50" i="3"/>
  <c r="C45" i="3"/>
  <c r="C37" i="3"/>
  <c r="B31" i="3"/>
  <c r="D26" i="3"/>
  <c r="D18" i="3"/>
  <c r="B15" i="3"/>
  <c r="D10" i="3"/>
  <c r="B78" i="3"/>
  <c r="C76" i="3"/>
  <c r="D73" i="3"/>
  <c r="B70" i="3"/>
  <c r="C68" i="3"/>
  <c r="D65" i="3"/>
  <c r="B62" i="3"/>
  <c r="C60" i="3"/>
  <c r="D57" i="3"/>
  <c r="B54" i="3"/>
  <c r="C52" i="3"/>
  <c r="D49" i="3"/>
  <c r="B46" i="3"/>
  <c r="C44" i="3"/>
  <c r="D41" i="3"/>
  <c r="B38" i="3"/>
  <c r="C36" i="3"/>
  <c r="D33" i="3"/>
  <c r="B30" i="3"/>
  <c r="C28" i="3"/>
  <c r="D25" i="3"/>
  <c r="B22" i="3"/>
  <c r="C20" i="3"/>
  <c r="D17" i="3"/>
  <c r="B14" i="3"/>
  <c r="C12" i="3"/>
  <c r="D9" i="3"/>
  <c r="B6" i="3"/>
  <c r="C4" i="3"/>
  <c r="D78" i="3"/>
  <c r="B75" i="3"/>
  <c r="C73" i="3"/>
  <c r="D70" i="3"/>
  <c r="B67" i="3"/>
  <c r="C65" i="3"/>
  <c r="D62" i="3"/>
  <c r="B59" i="3"/>
  <c r="C57" i="3"/>
  <c r="D54" i="3"/>
  <c r="B51" i="3"/>
  <c r="C49" i="3"/>
  <c r="D46" i="3"/>
  <c r="B43" i="3"/>
  <c r="C41" i="3"/>
  <c r="D38" i="3"/>
  <c r="B35" i="3"/>
  <c r="C33" i="3"/>
  <c r="D30" i="3"/>
  <c r="B27" i="3"/>
  <c r="C25" i="3"/>
  <c r="D22" i="3"/>
  <c r="B19" i="3"/>
  <c r="C17" i="3"/>
  <c r="D14" i="3"/>
  <c r="B11" i="3"/>
  <c r="C9" i="3"/>
  <c r="D6" i="3"/>
  <c r="B3" i="3"/>
  <c r="D3" i="3"/>
  <c r="C3" i="3"/>
  <c r="D2" i="3"/>
  <c r="G14" i="3"/>
  <c r="G6" i="3"/>
  <c r="G32" i="3"/>
  <c r="G24" i="3"/>
  <c r="G46" i="3"/>
  <c r="G38" i="3"/>
  <c r="G72" i="3"/>
  <c r="G64" i="3"/>
  <c r="G56" i="3"/>
  <c r="G71" i="3"/>
  <c r="G54" i="3"/>
  <c r="G19" i="3"/>
  <c r="G11" i="3"/>
  <c r="G3" i="3"/>
  <c r="G29" i="3"/>
  <c r="G21" i="3"/>
  <c r="G43" i="3"/>
  <c r="G77" i="3"/>
  <c r="G69" i="3"/>
  <c r="G61" i="3"/>
  <c r="G53" i="3"/>
  <c r="G31" i="3"/>
  <c r="G45" i="3"/>
  <c r="G4" i="3"/>
  <c r="G62" i="3"/>
  <c r="G18" i="3"/>
  <c r="G10" i="3"/>
  <c r="G36" i="3"/>
  <c r="G28" i="3"/>
  <c r="G50" i="3"/>
  <c r="G42" i="3"/>
  <c r="G76" i="3"/>
  <c r="G68" i="3"/>
  <c r="G60" i="3"/>
  <c r="G52" i="3"/>
  <c r="G13" i="3"/>
  <c r="G63" i="3"/>
  <c r="G22" i="3"/>
  <c r="G70" i="3"/>
  <c r="G17" i="3"/>
  <c r="G9" i="3"/>
  <c r="G35" i="3"/>
  <c r="G27" i="3"/>
  <c r="G49" i="3"/>
  <c r="G41" i="3"/>
  <c r="G75" i="3"/>
  <c r="G67" i="3"/>
  <c r="G59" i="3"/>
  <c r="G51" i="3"/>
  <c r="G5" i="3"/>
  <c r="G37" i="3"/>
  <c r="G12" i="3"/>
  <c r="G44" i="3"/>
  <c r="G16" i="3"/>
  <c r="G8" i="3"/>
  <c r="G34" i="3"/>
  <c r="G26" i="3"/>
  <c r="G48" i="3"/>
  <c r="G40" i="3"/>
  <c r="G74" i="3"/>
  <c r="G66" i="3"/>
  <c r="G58" i="3"/>
  <c r="G23" i="3"/>
  <c r="G55" i="3"/>
  <c r="G20" i="3"/>
  <c r="G30" i="3"/>
  <c r="G78" i="3"/>
  <c r="G15" i="3"/>
  <c r="G7" i="3"/>
  <c r="G33" i="3"/>
  <c r="G25" i="3"/>
  <c r="G47" i="3"/>
  <c r="G39" i="3"/>
  <c r="G73" i="3"/>
  <c r="G65" i="3"/>
  <c r="G57" i="3"/>
  <c r="M4" i="2"/>
  <c r="M112" i="2"/>
  <c r="M88" i="2"/>
  <c r="M10" i="2"/>
  <c r="M90" i="2"/>
  <c r="M74" i="2"/>
  <c r="M44" i="2"/>
  <c r="M87" i="2"/>
  <c r="M36" i="2"/>
  <c r="M71" i="2"/>
  <c r="M62" i="2"/>
  <c r="M46" i="2"/>
  <c r="M40" i="2"/>
  <c r="M47" i="2"/>
  <c r="M12" i="2"/>
  <c r="M106" i="2"/>
  <c r="M105" i="2"/>
  <c r="M98" i="2"/>
  <c r="M92" i="2"/>
  <c r="M97" i="2"/>
  <c r="M7" i="2"/>
  <c r="M78" i="2"/>
  <c r="M25" i="2"/>
  <c r="M81" i="2"/>
  <c r="M52" i="2"/>
  <c r="M82" i="2"/>
  <c r="M8" i="2"/>
  <c r="M39" i="2"/>
  <c r="M75" i="2"/>
  <c r="M104" i="2"/>
  <c r="M55" i="2"/>
  <c r="M89" i="2"/>
  <c r="M73" i="2"/>
  <c r="M35" i="2"/>
  <c r="M91" i="2"/>
  <c r="M51" i="2"/>
  <c r="M67" i="2"/>
  <c r="M53" i="2"/>
  <c r="M6" i="2"/>
  <c r="M9" i="2"/>
  <c r="M11" i="2"/>
  <c r="M57" i="2"/>
  <c r="M15" i="2"/>
  <c r="M95" i="2"/>
  <c r="M101" i="2"/>
  <c r="M80" i="2"/>
  <c r="M72" i="2"/>
  <c r="M30" i="2"/>
  <c r="M13" i="2"/>
  <c r="M76" i="2"/>
  <c r="M33" i="2"/>
  <c r="M16" i="2"/>
  <c r="M24" i="2"/>
  <c r="M107" i="2"/>
  <c r="M32" i="2"/>
  <c r="M60" i="2"/>
  <c r="M18" i="2"/>
  <c r="M3" i="2"/>
  <c r="M14" i="2"/>
  <c r="M1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<sst xmlns="http://schemas.openxmlformats.org/spreadsheetml/2006/main" count="211" uniqueCount="13">
  <si>
    <t>N°</t>
  </si>
  <si>
    <t>Ataques</t>
  </si>
  <si>
    <t>Barcos</t>
  </si>
  <si>
    <t>Medallas</t>
  </si>
  <si>
    <t>Batalla normal</t>
  </si>
  <si>
    <t>Duelo</t>
  </si>
  <si>
    <t>Variantes</t>
  </si>
  <si>
    <t>Detalle</t>
  </si>
  <si>
    <t>Periodo</t>
  </si>
  <si>
    <t>V</t>
  </si>
  <si>
    <t>D</t>
  </si>
  <si>
    <t>Día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</si>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</sst>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EBB8-6C79-4A8A-AE6F-A1A443DBECF6}">
  <dimension ref="A1:M112"/>
  <sheetViews>
    <sheetView tabSelected="1" workbookViewId="0">
      <selection activeCell="J13" sqref="J13"/>
    </sheetView>
  </sheetViews>
  <sheetFormatPr baseColWidth="10" defaultRowHeight="14.4" x14ac:dyDescent="0.3"/>
  <cols>
    <col min="1" max="1" width="4" style="1" bestFit="1" customWidth="1"/>
    <col min="2" max="3" width="3.88671875" style="1" customWidth="1"/>
    <col min="4" max="5" width="3.44140625" style="1" customWidth="1"/>
    <col min="6" max="7" width="3.33203125" style="1" customWidth="1"/>
    <col min="8" max="8" width="8" style="1" bestFit="1" customWidth="1"/>
    <col min="9" max="9" width="8.77734375" style="1" bestFit="1" customWidth="1"/>
    <col min="10" max="10" width="29.5546875" style="1" bestFit="1" customWidth="1"/>
    <col min="11" max="11" width="7.77734375" style="1" bestFit="1" customWidth="1"/>
    <col min="12" max="12" width="9.109375" style="1" bestFit="1" customWidth="1"/>
    <col min="13" max="13" width="13.77734375" style="1" bestFit="1" customWidth="1"/>
    <col min="14" max="16384" width="11.5546875" style="1"/>
  </cols>
  <sheetData>
    <row r="1" spans="1:13" s="8" customFormat="1" ht="34.200000000000003" customHeight="1" x14ac:dyDescent="0.3">
      <c r="A1" s="3" t="s">
        <v>0</v>
      </c>
      <c r="B1" s="7" t="s">
        <v>4</v>
      </c>
      <c r="C1" s="7"/>
      <c r="D1" s="7" t="s">
        <v>5</v>
      </c>
      <c r="E1" s="7"/>
      <c r="F1" s="7" t="s">
        <v>2</v>
      </c>
      <c r="G1" s="7"/>
      <c r="H1" s="3" t="s">
        <v>1</v>
      </c>
      <c r="I1" s="3" t="s">
        <v>3</v>
      </c>
      <c r="J1" s="3" t="s">
        <v>7</v>
      </c>
      <c r="K1" s="3" t="s">
        <v>8</v>
      </c>
      <c r="L1" s="3" t="s">
        <v>6</v>
      </c>
      <c r="M1" s="3" t="s">
        <v>12</v>
      </c>
    </row>
    <row r="2" spans="1:13" x14ac:dyDescent="0.3">
      <c r="A2" s="3"/>
      <c r="B2" s="4" t="s">
        <v>9</v>
      </c>
      <c r="C2" s="4" t="s">
        <v>10</v>
      </c>
      <c r="D2" s="4" t="s">
        <v>9</v>
      </c>
      <c r="E2" s="4" t="s">
        <v>10</v>
      </c>
      <c r="F2" s="4" t="s">
        <v>9</v>
      </c>
      <c r="G2" s="4" t="s">
        <v>10</v>
      </c>
      <c r="H2" s="3"/>
      <c r="I2" s="3"/>
      <c r="J2" s="3"/>
      <c r="K2" s="3"/>
      <c r="L2" s="3"/>
      <c r="M2" s="3"/>
    </row>
    <row r="3" spans="1:13" x14ac:dyDescent="0.3">
      <c r="A3" s="9">
        <v>1</v>
      </c>
      <c r="B3" s="5">
        <v>2</v>
      </c>
      <c r="C3" s="5">
        <v>0</v>
      </c>
      <c r="D3" s="6">
        <v>2</v>
      </c>
      <c r="E3" s="6">
        <v>0</v>
      </c>
      <c r="F3" s="10">
        <v>0</v>
      </c>
      <c r="G3" s="10">
        <v>0</v>
      </c>
      <c r="H3" s="9">
        <f>SUM(B3:G3)</f>
        <v>4</v>
      </c>
      <c r="I3" s="9">
        <f>B3*200+C3*100+D3*250+E3*100+F3*125+G3*75</f>
        <v>900</v>
      </c>
      <c r="J3" s="9" t="str">
        <f>IF(SUM(B3:G3)=0,"Sin ataques",_xlfn.CONCAT(IF(B3+C3&gt;0,"PvP ("&amp;B3&amp;"-"&amp;C3&amp;") ",""),IF(D3+E3&gt;0,"Duelo ("&amp;D3&amp;"-"&amp;E3&amp;") ",""),IF(F3+G3&gt;0,"Barcos ("&amp;F3&amp;"-"&amp;G3&amp;")","")))</f>
        <v xml:space="preserve">PvP (2-0) Duelo (2-0) </v>
      </c>
      <c r="K3" s="9" t="s">
        <v>11</v>
      </c>
      <c r="L3" s="9">
        <v>1</v>
      </c>
      <c r="M3" s="9" t="str">
        <f>"M_"&amp;I3&amp;"_A_"&amp;H3&amp;"_B_"&amp;SUM(F3:G3)</f>
        <v>M_900_A_4_B_0</v>
      </c>
    </row>
    <row r="4" spans="1:13" x14ac:dyDescent="0.3">
      <c r="A4" s="9">
        <v>2</v>
      </c>
      <c r="B4" s="5">
        <v>1</v>
      </c>
      <c r="C4" s="5">
        <v>0</v>
      </c>
      <c r="D4" s="6">
        <v>2</v>
      </c>
      <c r="E4" s="6">
        <v>0</v>
      </c>
      <c r="F4" s="10">
        <v>1</v>
      </c>
      <c r="G4" s="10">
        <v>0</v>
      </c>
      <c r="H4" s="9">
        <f>SUM(B4:G4)</f>
        <v>4</v>
      </c>
      <c r="I4" s="9">
        <f>B4*200+C4*100+D4*250+E4*100+F4*125+G4*75</f>
        <v>825</v>
      </c>
      <c r="J4" s="9" t="str">
        <f t="shared" ref="J4:J67" si="0">IF(SUM(B4:G4)=0,"Sin ataques",_xlfn.CONCAT(IF(B4+C4&gt;0,"PvP ("&amp;B4&amp;"-"&amp;C4&amp;") ",""),IF(D4+E4&gt;0,"Duelo ("&amp;D4&amp;"-"&amp;E4&amp;") ",""),IF(F4+G4&gt;0,"Barcos ("&amp;F4&amp;"-"&amp;G4&amp;")","")))</f>
        <v>PvP (1-0) Duelo (2-0) Barcos (1-0)</v>
      </c>
      <c r="K4" s="9" t="s">
        <v>11</v>
      </c>
      <c r="L4" s="9">
        <v>1</v>
      </c>
      <c r="M4" s="9" t="str">
        <f>"M_"&amp;I4&amp;"_A_"&amp;H4&amp;"_B_"&amp;SUM(F4:G4)</f>
        <v>M_825_A_4_B_1</v>
      </c>
    </row>
    <row r="5" spans="1:13" x14ac:dyDescent="0.3">
      <c r="A5" s="9">
        <v>3</v>
      </c>
      <c r="B5" s="5">
        <v>1</v>
      </c>
      <c r="C5" s="5">
        <v>0</v>
      </c>
      <c r="D5" s="6">
        <v>2</v>
      </c>
      <c r="E5" s="6">
        <v>1</v>
      </c>
      <c r="F5" s="10">
        <v>0</v>
      </c>
      <c r="G5" s="10">
        <v>0</v>
      </c>
      <c r="H5" s="9">
        <f>SUM(B5:G5)</f>
        <v>4</v>
      </c>
      <c r="I5" s="9">
        <f>B5*200+C5*100+D5*250+E5*100+F5*125+G5*75</f>
        <v>800</v>
      </c>
      <c r="J5" s="9" t="str">
        <f t="shared" si="0"/>
        <v xml:space="preserve">PvP (1-0) Duelo (2-1) </v>
      </c>
      <c r="K5" s="9" t="s">
        <v>11</v>
      </c>
      <c r="L5" s="9">
        <v>1</v>
      </c>
      <c r="M5" s="9" t="str">
        <f>"M_"&amp;I5&amp;"_A_"&amp;H5&amp;"_B_"&amp;SUM(F5:G5)</f>
        <v>M_800_A_4_B_0</v>
      </c>
    </row>
    <row r="6" spans="1:13" x14ac:dyDescent="0.3">
      <c r="A6" s="9">
        <v>4</v>
      </c>
      <c r="B6" s="5">
        <v>1</v>
      </c>
      <c r="C6" s="5">
        <v>1</v>
      </c>
      <c r="D6" s="6">
        <v>2</v>
      </c>
      <c r="E6" s="6">
        <v>0</v>
      </c>
      <c r="F6" s="10">
        <v>0</v>
      </c>
      <c r="G6" s="10">
        <v>0</v>
      </c>
      <c r="H6" s="9">
        <f>SUM(B6:G6)</f>
        <v>4</v>
      </c>
      <c r="I6" s="9">
        <f>B6*200+C6*100+D6*250+E6*100+F6*125+G6*75</f>
        <v>800</v>
      </c>
      <c r="J6" s="9" t="str">
        <f t="shared" si="0"/>
        <v xml:space="preserve">PvP (1-1) Duelo (2-0) </v>
      </c>
      <c r="K6" s="9" t="s">
        <v>11</v>
      </c>
      <c r="L6" s="9">
        <v>1</v>
      </c>
      <c r="M6" s="9" t="str">
        <f>"M_"&amp;I6&amp;"_A_"&amp;H6&amp;"_B_"&amp;SUM(F6:G6)</f>
        <v>M_800_A_4_B_0</v>
      </c>
    </row>
    <row r="7" spans="1:13" x14ac:dyDescent="0.3">
      <c r="A7" s="9">
        <v>5</v>
      </c>
      <c r="B7" s="5">
        <v>4</v>
      </c>
      <c r="C7" s="5">
        <v>0</v>
      </c>
      <c r="D7" s="6">
        <v>0</v>
      </c>
      <c r="E7" s="6">
        <v>0</v>
      </c>
      <c r="F7" s="10">
        <v>0</v>
      </c>
      <c r="G7" s="10">
        <v>0</v>
      </c>
      <c r="H7" s="9">
        <f>SUM(B7:G7)</f>
        <v>4</v>
      </c>
      <c r="I7" s="9">
        <f>B7*200+C7*100+D7*250+E7*100+F7*125+G7*75</f>
        <v>800</v>
      </c>
      <c r="J7" s="9" t="str">
        <f t="shared" si="0"/>
        <v xml:space="preserve">PvP (4-0) </v>
      </c>
      <c r="K7" s="9" t="s">
        <v>11</v>
      </c>
      <c r="L7" s="9">
        <v>1</v>
      </c>
      <c r="M7" s="9" t="str">
        <f>"M_"&amp;I7&amp;"_A_"&amp;H7&amp;"_B_"&amp;SUM(F7:G7)</f>
        <v>M_800_A_4_B_0</v>
      </c>
    </row>
    <row r="8" spans="1:13" x14ac:dyDescent="0.3">
      <c r="A8" s="9">
        <v>6</v>
      </c>
      <c r="B8" s="5">
        <v>1</v>
      </c>
      <c r="C8" s="5">
        <v>0</v>
      </c>
      <c r="D8" s="6">
        <v>2</v>
      </c>
      <c r="E8" s="6">
        <v>0</v>
      </c>
      <c r="F8" s="10">
        <v>0</v>
      </c>
      <c r="G8" s="10">
        <v>1</v>
      </c>
      <c r="H8" s="9">
        <f>SUM(B8:G8)</f>
        <v>4</v>
      </c>
      <c r="I8" s="9">
        <f>B8*200+C8*100+D8*250+E8*100+F8*125+G8*75</f>
        <v>775</v>
      </c>
      <c r="J8" s="9" t="str">
        <f t="shared" si="0"/>
        <v>PvP (1-0) Duelo (2-0) Barcos (0-1)</v>
      </c>
      <c r="K8" s="9" t="s">
        <v>11</v>
      </c>
      <c r="L8" s="9">
        <v>1</v>
      </c>
      <c r="M8" s="9" t="str">
        <f>"M_"&amp;I8&amp;"_A_"&amp;H8&amp;"_B_"&amp;SUM(F8:G8)</f>
        <v>M_775_A_4_B_1</v>
      </c>
    </row>
    <row r="9" spans="1:13" x14ac:dyDescent="0.3">
      <c r="A9" s="9">
        <v>7</v>
      </c>
      <c r="B9" s="5">
        <v>0</v>
      </c>
      <c r="C9" s="5">
        <v>0</v>
      </c>
      <c r="D9" s="6">
        <v>2</v>
      </c>
      <c r="E9" s="6">
        <v>0</v>
      </c>
      <c r="F9" s="10">
        <v>2</v>
      </c>
      <c r="G9" s="10">
        <v>0</v>
      </c>
      <c r="H9" s="9">
        <f>SUM(B9:G9)</f>
        <v>4</v>
      </c>
      <c r="I9" s="9">
        <f>B9*200+C9*100+D9*250+E9*100+F9*125+G9*75</f>
        <v>750</v>
      </c>
      <c r="J9" s="9" t="str">
        <f t="shared" si="0"/>
        <v>Duelo (2-0) Barcos (2-0)</v>
      </c>
      <c r="K9" s="9" t="s">
        <v>11</v>
      </c>
      <c r="L9" s="9">
        <v>1</v>
      </c>
      <c r="M9" s="9" t="str">
        <f>"M_"&amp;I9&amp;"_A_"&amp;H9&amp;"_B_"&amp;SUM(F9:G9)</f>
        <v>M_750_A_4_B_2</v>
      </c>
    </row>
    <row r="10" spans="1:13" x14ac:dyDescent="0.3">
      <c r="A10" s="9">
        <v>8</v>
      </c>
      <c r="B10" s="5">
        <v>0</v>
      </c>
      <c r="C10" s="5">
        <v>0</v>
      </c>
      <c r="D10" s="6">
        <v>0</v>
      </c>
      <c r="E10" s="6">
        <v>0</v>
      </c>
      <c r="F10" s="10">
        <v>0</v>
      </c>
      <c r="G10" s="10">
        <v>1</v>
      </c>
      <c r="H10" s="9">
        <f>SUM(B10:G10)</f>
        <v>1</v>
      </c>
      <c r="I10" s="9">
        <f>B10*200+C10*100+D10*250+E10*100+F10*125+G10*75</f>
        <v>75</v>
      </c>
      <c r="J10" s="9" t="str">
        <f t="shared" si="0"/>
        <v>Barcos (0-1)</v>
      </c>
      <c r="K10" s="9" t="s">
        <v>11</v>
      </c>
      <c r="L10" s="9">
        <v>1</v>
      </c>
      <c r="M10" s="9" t="str">
        <f>"M_"&amp;I10&amp;"_A_"&amp;H10&amp;"_B_"&amp;SUM(F10:G10)</f>
        <v>M_75_A_1_B_1</v>
      </c>
    </row>
    <row r="11" spans="1:13" x14ac:dyDescent="0.3">
      <c r="A11" s="9">
        <v>9</v>
      </c>
      <c r="B11" s="5">
        <v>0</v>
      </c>
      <c r="C11" s="5">
        <v>0</v>
      </c>
      <c r="D11" s="6">
        <v>2</v>
      </c>
      <c r="E11" s="6">
        <v>1</v>
      </c>
      <c r="F11" s="10">
        <v>1</v>
      </c>
      <c r="G11" s="10">
        <v>0</v>
      </c>
      <c r="H11" s="9">
        <f>SUM(B11:G11)</f>
        <v>4</v>
      </c>
      <c r="I11" s="9">
        <f>B11*200+C11*100+D11*250+E11*100+F11*125+G11*75</f>
        <v>725</v>
      </c>
      <c r="J11" s="9" t="str">
        <f t="shared" si="0"/>
        <v>Duelo (2-1) Barcos (1-0)</v>
      </c>
      <c r="K11" s="9" t="s">
        <v>11</v>
      </c>
      <c r="L11" s="9">
        <v>1</v>
      </c>
      <c r="M11" s="9" t="str">
        <f>"M_"&amp;I11&amp;"_A_"&amp;H11&amp;"_B_"&amp;SUM(F11:G11)</f>
        <v>M_725_A_4_B_1</v>
      </c>
    </row>
    <row r="12" spans="1:13" x14ac:dyDescent="0.3">
      <c r="A12" s="9">
        <v>10</v>
      </c>
      <c r="B12" s="5">
        <v>0</v>
      </c>
      <c r="C12" s="5">
        <v>1</v>
      </c>
      <c r="D12" s="6">
        <v>2</v>
      </c>
      <c r="E12" s="6">
        <v>0</v>
      </c>
      <c r="F12" s="10">
        <v>1</v>
      </c>
      <c r="G12" s="10">
        <v>0</v>
      </c>
      <c r="H12" s="9">
        <f>SUM(B12:G12)</f>
        <v>4</v>
      </c>
      <c r="I12" s="9">
        <f>B12*200+C12*100+D12*250+E12*100+F12*125+G12*75</f>
        <v>725</v>
      </c>
      <c r="J12" s="9" t="str">
        <f t="shared" si="0"/>
        <v>PvP (0-1) Duelo (2-0) Barcos (1-0)</v>
      </c>
      <c r="K12" s="9" t="s">
        <v>11</v>
      </c>
      <c r="L12" s="9">
        <v>1</v>
      </c>
      <c r="M12" s="9" t="str">
        <f>"M_"&amp;I12&amp;"_A_"&amp;H12&amp;"_B_"&amp;SUM(F12:G12)</f>
        <v>M_725_A_4_B_1</v>
      </c>
    </row>
    <row r="13" spans="1:13" x14ac:dyDescent="0.3">
      <c r="A13" s="9">
        <v>11</v>
      </c>
      <c r="B13" s="5">
        <v>3</v>
      </c>
      <c r="C13" s="5">
        <v>0</v>
      </c>
      <c r="D13" s="6">
        <v>0</v>
      </c>
      <c r="E13" s="6">
        <v>0</v>
      </c>
      <c r="F13" s="10">
        <v>1</v>
      </c>
      <c r="G13" s="10">
        <v>0</v>
      </c>
      <c r="H13" s="9">
        <f>SUM(B13:G13)</f>
        <v>4</v>
      </c>
      <c r="I13" s="9">
        <f>B13*200+C13*100+D13*250+E13*100+F13*125+G13*75</f>
        <v>725</v>
      </c>
      <c r="J13" s="9" t="str">
        <f t="shared" si="0"/>
        <v>PvP (3-0) Barcos (1-0)</v>
      </c>
      <c r="K13" s="9" t="s">
        <v>11</v>
      </c>
      <c r="L13" s="9">
        <v>1</v>
      </c>
      <c r="M13" s="9" t="str">
        <f>"M_"&amp;I13&amp;"_A_"&amp;H13&amp;"_B_"&amp;SUM(F13:G13)</f>
        <v>M_725_A_4_B_1</v>
      </c>
    </row>
    <row r="14" spans="1:13" x14ac:dyDescent="0.3">
      <c r="A14" s="9">
        <v>12</v>
      </c>
      <c r="B14" s="5">
        <v>0</v>
      </c>
      <c r="C14" s="5">
        <v>0</v>
      </c>
      <c r="D14" s="6">
        <v>2</v>
      </c>
      <c r="E14" s="6">
        <v>0</v>
      </c>
      <c r="F14" s="10">
        <v>1</v>
      </c>
      <c r="G14" s="10">
        <v>1</v>
      </c>
      <c r="H14" s="9">
        <f>SUM(B14:G14)</f>
        <v>4</v>
      </c>
      <c r="I14" s="9">
        <f>B14*200+C14*100+D14*250+E14*100+F14*125+G14*75</f>
        <v>700</v>
      </c>
      <c r="J14" s="9" t="str">
        <f t="shared" si="0"/>
        <v>Duelo (2-0) Barcos (1-1)</v>
      </c>
      <c r="K14" s="9" t="s">
        <v>11</v>
      </c>
      <c r="L14" s="9">
        <v>1</v>
      </c>
      <c r="M14" s="9" t="str">
        <f>"M_"&amp;I14&amp;"_A_"&amp;H14&amp;"_B_"&amp;SUM(F14:G14)</f>
        <v>M_700_A_4_B_2</v>
      </c>
    </row>
    <row r="15" spans="1:13" x14ac:dyDescent="0.3">
      <c r="A15" s="9">
        <v>13</v>
      </c>
      <c r="B15" s="5">
        <v>0</v>
      </c>
      <c r="C15" s="5">
        <v>1</v>
      </c>
      <c r="D15" s="6">
        <v>2</v>
      </c>
      <c r="E15" s="6">
        <v>1</v>
      </c>
      <c r="F15" s="10">
        <v>0</v>
      </c>
      <c r="G15" s="10">
        <v>0</v>
      </c>
      <c r="H15" s="9">
        <f>SUM(B15:G15)</f>
        <v>4</v>
      </c>
      <c r="I15" s="9">
        <f>B15*200+C15*100+D15*250+E15*100+F15*125+G15*75</f>
        <v>700</v>
      </c>
      <c r="J15" s="9" t="str">
        <f t="shared" si="0"/>
        <v xml:space="preserve">PvP (0-1) Duelo (2-1) </v>
      </c>
      <c r="K15" s="9" t="s">
        <v>11</v>
      </c>
      <c r="L15" s="9">
        <v>1</v>
      </c>
      <c r="M15" s="9" t="str">
        <f>"M_"&amp;I15&amp;"_A_"&amp;H15&amp;"_B_"&amp;SUM(F15:G15)</f>
        <v>M_700_A_4_B_0</v>
      </c>
    </row>
    <row r="16" spans="1:13" x14ac:dyDescent="0.3">
      <c r="A16" s="9">
        <v>14</v>
      </c>
      <c r="B16" s="5">
        <v>0</v>
      </c>
      <c r="C16" s="5">
        <v>2</v>
      </c>
      <c r="D16" s="6">
        <v>2</v>
      </c>
      <c r="E16" s="6">
        <v>0</v>
      </c>
      <c r="F16" s="10">
        <v>0</v>
      </c>
      <c r="G16" s="10">
        <v>0</v>
      </c>
      <c r="H16" s="9">
        <f>SUM(B16:G16)</f>
        <v>4</v>
      </c>
      <c r="I16" s="9">
        <f>B16*200+C16*100+D16*250+E16*100+F16*125+G16*75</f>
        <v>700</v>
      </c>
      <c r="J16" s="9" t="str">
        <f t="shared" si="0"/>
        <v xml:space="preserve">PvP (0-2) Duelo (2-0) </v>
      </c>
      <c r="K16" s="9" t="s">
        <v>11</v>
      </c>
      <c r="L16" s="9">
        <v>1</v>
      </c>
      <c r="M16" s="9" t="str">
        <f>"M_"&amp;I16&amp;"_A_"&amp;H16&amp;"_B_"&amp;SUM(F16:G16)</f>
        <v>M_700_A_4_B_0</v>
      </c>
    </row>
    <row r="17" spans="1:13" x14ac:dyDescent="0.3">
      <c r="A17" s="9">
        <v>15</v>
      </c>
      <c r="B17" s="5">
        <v>3</v>
      </c>
      <c r="C17" s="5">
        <v>1</v>
      </c>
      <c r="D17" s="6">
        <v>0</v>
      </c>
      <c r="E17" s="6">
        <v>0</v>
      </c>
      <c r="F17" s="10">
        <v>0</v>
      </c>
      <c r="G17" s="10">
        <v>0</v>
      </c>
      <c r="H17" s="9">
        <f>SUM(B17:G17)</f>
        <v>4</v>
      </c>
      <c r="I17" s="9">
        <f>B17*200+C17*100+D17*250+E17*100+F17*125+G17*75</f>
        <v>700</v>
      </c>
      <c r="J17" s="9" t="str">
        <f t="shared" si="0"/>
        <v xml:space="preserve">PvP (3-1) </v>
      </c>
      <c r="K17" s="9" t="s">
        <v>11</v>
      </c>
      <c r="L17" s="9">
        <v>1</v>
      </c>
      <c r="M17" s="9" t="str">
        <f>"M_"&amp;I17&amp;"_A_"&amp;H17&amp;"_B_"&amp;SUM(F17:G17)</f>
        <v>M_700_A_4_B_0</v>
      </c>
    </row>
    <row r="18" spans="1:13" x14ac:dyDescent="0.3">
      <c r="A18" s="9">
        <v>16</v>
      </c>
      <c r="B18" s="5">
        <v>1</v>
      </c>
      <c r="C18" s="5">
        <v>0</v>
      </c>
      <c r="D18" s="6">
        <v>2</v>
      </c>
      <c r="E18" s="6">
        <v>0</v>
      </c>
      <c r="F18" s="10">
        <v>0</v>
      </c>
      <c r="G18" s="10">
        <v>0</v>
      </c>
      <c r="H18" s="9">
        <f>SUM(B18:G18)</f>
        <v>3</v>
      </c>
      <c r="I18" s="9">
        <f>B18*200+C18*100+D18*250+E18*100+F18*125+G18*75</f>
        <v>700</v>
      </c>
      <c r="J18" s="9" t="str">
        <f t="shared" si="0"/>
        <v xml:space="preserve">PvP (1-0) Duelo (2-0) </v>
      </c>
      <c r="K18" s="9" t="s">
        <v>11</v>
      </c>
      <c r="L18" s="9">
        <v>1</v>
      </c>
      <c r="M18" s="9" t="str">
        <f>"M_"&amp;I18&amp;"_A_"&amp;H18&amp;"_B_"&amp;SUM(F18:G18)</f>
        <v>M_700_A_3_B_0</v>
      </c>
    </row>
    <row r="19" spans="1:13" x14ac:dyDescent="0.3">
      <c r="A19" s="9">
        <v>17</v>
      </c>
      <c r="B19" s="5">
        <v>0</v>
      </c>
      <c r="C19" s="5">
        <v>0</v>
      </c>
      <c r="D19" s="6">
        <v>2</v>
      </c>
      <c r="E19" s="6">
        <v>1</v>
      </c>
      <c r="F19" s="10">
        <v>0</v>
      </c>
      <c r="G19" s="10">
        <v>1</v>
      </c>
      <c r="H19" s="9">
        <f>SUM(B19:G19)</f>
        <v>4</v>
      </c>
      <c r="I19" s="9">
        <f>B19*200+C19*100+D19*250+E19*100+F19*125+G19*75</f>
        <v>675</v>
      </c>
      <c r="J19" s="9" t="str">
        <f t="shared" si="0"/>
        <v>Duelo (2-1) Barcos (0-1)</v>
      </c>
      <c r="K19" s="9" t="s">
        <v>11</v>
      </c>
      <c r="L19" s="9">
        <v>1</v>
      </c>
      <c r="M19" s="9" t="str">
        <f>"M_"&amp;I19&amp;"_A_"&amp;H19&amp;"_B_"&amp;SUM(F19:G19)</f>
        <v>M_675_A_4_B_1</v>
      </c>
    </row>
    <row r="20" spans="1:13" x14ac:dyDescent="0.3">
      <c r="A20" s="9">
        <v>18</v>
      </c>
      <c r="B20" s="5">
        <v>0</v>
      </c>
      <c r="C20" s="5">
        <v>1</v>
      </c>
      <c r="D20" s="6">
        <v>2</v>
      </c>
      <c r="E20" s="6">
        <v>0</v>
      </c>
      <c r="F20" s="10">
        <v>0</v>
      </c>
      <c r="G20" s="10">
        <v>1</v>
      </c>
      <c r="H20" s="9">
        <f>SUM(B20:G20)</f>
        <v>4</v>
      </c>
      <c r="I20" s="9">
        <f>B20*200+C20*100+D20*250+E20*100+F20*125+G20*75</f>
        <v>675</v>
      </c>
      <c r="J20" s="9" t="str">
        <f t="shared" si="0"/>
        <v>PvP (0-1) Duelo (2-0) Barcos (0-1)</v>
      </c>
      <c r="K20" s="9" t="s">
        <v>11</v>
      </c>
      <c r="L20" s="9">
        <v>1</v>
      </c>
      <c r="M20" s="9" t="str">
        <f>"M_"&amp;I20&amp;"_A_"&amp;H20&amp;"_B_"&amp;SUM(F20:G20)</f>
        <v>M_675_A_4_B_1</v>
      </c>
    </row>
    <row r="21" spans="1:13" x14ac:dyDescent="0.3">
      <c r="A21" s="9">
        <v>19</v>
      </c>
      <c r="B21" s="5">
        <v>3</v>
      </c>
      <c r="C21" s="5">
        <v>0</v>
      </c>
      <c r="D21" s="6">
        <v>0</v>
      </c>
      <c r="E21" s="6">
        <v>0</v>
      </c>
      <c r="F21" s="10">
        <v>0</v>
      </c>
      <c r="G21" s="10">
        <v>1</v>
      </c>
      <c r="H21" s="9">
        <f>SUM(B21:G21)</f>
        <v>4</v>
      </c>
      <c r="I21" s="9">
        <f>B21*200+C21*100+D21*250+E21*100+F21*125+G21*75</f>
        <v>675</v>
      </c>
      <c r="J21" s="9" t="str">
        <f t="shared" si="0"/>
        <v>PvP (3-0) Barcos (0-1)</v>
      </c>
      <c r="K21" s="9" t="s">
        <v>11</v>
      </c>
      <c r="L21" s="9">
        <v>1</v>
      </c>
      <c r="M21" s="9" t="str">
        <f>"M_"&amp;I21&amp;"_A_"&amp;H21&amp;"_B_"&amp;SUM(F21:G21)</f>
        <v>M_675_A_4_B_1</v>
      </c>
    </row>
    <row r="22" spans="1:13" x14ac:dyDescent="0.3">
      <c r="A22" s="9">
        <v>20</v>
      </c>
      <c r="B22" s="5">
        <v>0</v>
      </c>
      <c r="C22" s="5">
        <v>0</v>
      </c>
      <c r="D22" s="6">
        <v>2</v>
      </c>
      <c r="E22" s="6">
        <v>0</v>
      </c>
      <c r="F22" s="10">
        <v>0</v>
      </c>
      <c r="G22" s="10">
        <v>2</v>
      </c>
      <c r="H22" s="9">
        <f>SUM(B22:G22)</f>
        <v>4</v>
      </c>
      <c r="I22" s="9">
        <f>B22*200+C22*100+D22*250+E22*100+F22*125+G22*75</f>
        <v>650</v>
      </c>
      <c r="J22" s="9" t="str">
        <f t="shared" si="0"/>
        <v>Duelo (2-0) Barcos (0-2)</v>
      </c>
      <c r="K22" s="9" t="s">
        <v>11</v>
      </c>
      <c r="L22" s="9">
        <v>1</v>
      </c>
      <c r="M22" s="9" t="str">
        <f>"M_"&amp;I22&amp;"_A_"&amp;H22&amp;"_B_"&amp;SUM(F22:G22)</f>
        <v>M_650_A_4_B_2</v>
      </c>
    </row>
    <row r="23" spans="1:13" x14ac:dyDescent="0.3">
      <c r="A23" s="9">
        <v>21</v>
      </c>
      <c r="B23" s="5">
        <v>2</v>
      </c>
      <c r="C23" s="5">
        <v>0</v>
      </c>
      <c r="D23" s="6">
        <v>0</v>
      </c>
      <c r="E23" s="6">
        <v>0</v>
      </c>
      <c r="F23" s="10">
        <v>2</v>
      </c>
      <c r="G23" s="10">
        <v>0</v>
      </c>
      <c r="H23" s="9">
        <f>SUM(B23:G23)</f>
        <v>4</v>
      </c>
      <c r="I23" s="9">
        <f>B23*200+C23*100+D23*250+E23*100+F23*125+G23*75</f>
        <v>650</v>
      </c>
      <c r="J23" s="9" t="str">
        <f t="shared" si="0"/>
        <v>PvP (2-0) Barcos (2-0)</v>
      </c>
      <c r="K23" s="9" t="s">
        <v>11</v>
      </c>
      <c r="L23" s="9">
        <v>1</v>
      </c>
      <c r="M23" s="9" t="str">
        <f>"M_"&amp;I23&amp;"_A_"&amp;H23&amp;"_B_"&amp;SUM(F23:G23)</f>
        <v>M_650_A_4_B_2</v>
      </c>
    </row>
    <row r="24" spans="1:13" x14ac:dyDescent="0.3">
      <c r="A24" s="9">
        <v>22</v>
      </c>
      <c r="B24" s="5">
        <v>1</v>
      </c>
      <c r="C24" s="5">
        <v>0</v>
      </c>
      <c r="D24" s="6">
        <v>1</v>
      </c>
      <c r="E24" s="6">
        <v>2</v>
      </c>
      <c r="F24" s="10">
        <v>0</v>
      </c>
      <c r="G24" s="10">
        <v>0</v>
      </c>
      <c r="H24" s="9">
        <f>SUM(B24:G24)</f>
        <v>4</v>
      </c>
      <c r="I24" s="9">
        <f>B24*200+C24*100+D24*250+E24*100+F24*125+G24*75</f>
        <v>650</v>
      </c>
      <c r="J24" s="9" t="str">
        <f t="shared" si="0"/>
        <v xml:space="preserve">PvP (1-0) Duelo (1-2) </v>
      </c>
      <c r="K24" s="9" t="s">
        <v>11</v>
      </c>
      <c r="L24" s="9">
        <v>1</v>
      </c>
      <c r="M24" s="9" t="str">
        <f>"M_"&amp;I24&amp;"_A_"&amp;H24&amp;"_B_"&amp;SUM(F24:G24)</f>
        <v>M_650_A_4_B_0</v>
      </c>
    </row>
    <row r="25" spans="1:13" x14ac:dyDescent="0.3">
      <c r="A25" s="9">
        <v>23</v>
      </c>
      <c r="B25" s="5">
        <v>2</v>
      </c>
      <c r="C25" s="5">
        <v>1</v>
      </c>
      <c r="D25" s="6">
        <v>0</v>
      </c>
      <c r="E25" s="6">
        <v>0</v>
      </c>
      <c r="F25" s="10">
        <v>1</v>
      </c>
      <c r="G25" s="10">
        <v>0</v>
      </c>
      <c r="H25" s="9">
        <f>SUM(B25:G25)</f>
        <v>4</v>
      </c>
      <c r="I25" s="9">
        <f>B25*200+C25*100+D25*250+E25*100+F25*125+G25*75</f>
        <v>625</v>
      </c>
      <c r="J25" s="9" t="str">
        <f t="shared" si="0"/>
        <v>PvP (2-1) Barcos (1-0)</v>
      </c>
      <c r="K25" s="9" t="s">
        <v>11</v>
      </c>
      <c r="L25" s="9">
        <v>1</v>
      </c>
      <c r="M25" s="9" t="str">
        <f>"M_"&amp;I25&amp;"_A_"&amp;H25&amp;"_B_"&amp;SUM(F25:G25)</f>
        <v>M_625_A_4_B_1</v>
      </c>
    </row>
    <row r="26" spans="1:13" x14ac:dyDescent="0.3">
      <c r="A26" s="9">
        <v>24</v>
      </c>
      <c r="B26" s="5">
        <v>0</v>
      </c>
      <c r="C26" s="5">
        <v>0</v>
      </c>
      <c r="D26" s="6">
        <v>2</v>
      </c>
      <c r="E26" s="6">
        <v>0</v>
      </c>
      <c r="F26" s="10">
        <v>1</v>
      </c>
      <c r="G26" s="10">
        <v>0</v>
      </c>
      <c r="H26" s="9">
        <f>SUM(B26:G26)</f>
        <v>3</v>
      </c>
      <c r="I26" s="9">
        <f>B26*200+C26*100+D26*250+E26*100+F26*125+G26*75</f>
        <v>625</v>
      </c>
      <c r="J26" s="9" t="str">
        <f t="shared" si="0"/>
        <v>Duelo (2-0) Barcos (1-0)</v>
      </c>
      <c r="K26" s="9" t="s">
        <v>11</v>
      </c>
      <c r="L26" s="9">
        <v>1</v>
      </c>
      <c r="M26" s="9" t="str">
        <f>"M_"&amp;I26&amp;"_A_"&amp;H26&amp;"_B_"&amp;SUM(F26:G26)</f>
        <v>M_625_A_3_B_1</v>
      </c>
    </row>
    <row r="27" spans="1:13" x14ac:dyDescent="0.3">
      <c r="A27" s="9">
        <v>25</v>
      </c>
      <c r="B27" s="5">
        <v>2</v>
      </c>
      <c r="C27" s="5">
        <v>0</v>
      </c>
      <c r="D27" s="6">
        <v>0</v>
      </c>
      <c r="E27" s="6">
        <v>0</v>
      </c>
      <c r="F27" s="10">
        <v>1</v>
      </c>
      <c r="G27" s="10">
        <v>1</v>
      </c>
      <c r="H27" s="9">
        <f>SUM(B27:G27)</f>
        <v>4</v>
      </c>
      <c r="I27" s="9">
        <f>B27*200+C27*100+D27*250+E27*100+F27*125+G27*75</f>
        <v>600</v>
      </c>
      <c r="J27" s="9" t="str">
        <f t="shared" si="0"/>
        <v>PvP (2-0) Barcos (1-1)</v>
      </c>
      <c r="K27" s="9" t="s">
        <v>11</v>
      </c>
      <c r="L27" s="9">
        <v>1</v>
      </c>
      <c r="M27" s="9" t="str">
        <f>"M_"&amp;I27&amp;"_A_"&amp;H27&amp;"_B_"&amp;SUM(F27:G27)</f>
        <v>M_600_A_4_B_2</v>
      </c>
    </row>
    <row r="28" spans="1:13" x14ac:dyDescent="0.3">
      <c r="A28" s="9">
        <v>26</v>
      </c>
      <c r="B28" s="5">
        <v>2</v>
      </c>
      <c r="C28" s="5">
        <v>0</v>
      </c>
      <c r="D28" s="6">
        <v>0</v>
      </c>
      <c r="E28" s="6">
        <v>2</v>
      </c>
      <c r="F28" s="10">
        <v>0</v>
      </c>
      <c r="G28" s="10">
        <v>0</v>
      </c>
      <c r="H28" s="9">
        <f>SUM(B28:G28)</f>
        <v>4</v>
      </c>
      <c r="I28" s="9">
        <f>B28*200+C28*100+D28*250+E28*100+F28*125+G28*75</f>
        <v>600</v>
      </c>
      <c r="J28" s="9" t="str">
        <f t="shared" si="0"/>
        <v xml:space="preserve">PvP (2-0) Duelo (0-2) </v>
      </c>
      <c r="K28" s="9" t="s">
        <v>11</v>
      </c>
      <c r="L28" s="9">
        <v>1</v>
      </c>
      <c r="M28" s="9" t="str">
        <f>"M_"&amp;I28&amp;"_A_"&amp;H28&amp;"_B_"&amp;SUM(F28:G28)</f>
        <v>M_600_A_4_B_0</v>
      </c>
    </row>
    <row r="29" spans="1:13" x14ac:dyDescent="0.3">
      <c r="A29" s="9">
        <v>27</v>
      </c>
      <c r="B29" s="5">
        <v>2</v>
      </c>
      <c r="C29" s="5">
        <v>2</v>
      </c>
      <c r="D29" s="6">
        <v>0</v>
      </c>
      <c r="E29" s="6">
        <v>0</v>
      </c>
      <c r="F29" s="10">
        <v>0</v>
      </c>
      <c r="G29" s="10">
        <v>0</v>
      </c>
      <c r="H29" s="9">
        <f>SUM(B29:G29)</f>
        <v>4</v>
      </c>
      <c r="I29" s="9">
        <f>B29*200+C29*100+D29*250+E29*100+F29*125+G29*75</f>
        <v>600</v>
      </c>
      <c r="J29" s="9" t="str">
        <f t="shared" si="0"/>
        <v xml:space="preserve">PvP (2-2) </v>
      </c>
      <c r="K29" s="9" t="s">
        <v>11</v>
      </c>
      <c r="L29" s="9">
        <v>1</v>
      </c>
      <c r="M29" s="9" t="str">
        <f>"M_"&amp;I29&amp;"_A_"&amp;H29&amp;"_B_"&amp;SUM(F29:G29)</f>
        <v>M_600_A_4_B_0</v>
      </c>
    </row>
    <row r="30" spans="1:13" x14ac:dyDescent="0.3">
      <c r="A30" s="9">
        <v>28</v>
      </c>
      <c r="B30" s="5">
        <v>0</v>
      </c>
      <c r="C30" s="5">
        <v>0</v>
      </c>
      <c r="D30" s="6">
        <v>2</v>
      </c>
      <c r="E30" s="6">
        <v>1</v>
      </c>
      <c r="F30" s="10">
        <v>0</v>
      </c>
      <c r="G30" s="10">
        <v>0</v>
      </c>
      <c r="H30" s="9">
        <f>SUM(B30:G30)</f>
        <v>3</v>
      </c>
      <c r="I30" s="9">
        <f>B30*200+C30*100+D30*250+E30*100+F30*125+G30*75</f>
        <v>600</v>
      </c>
      <c r="J30" s="9" t="str">
        <f t="shared" si="0"/>
        <v xml:space="preserve">Duelo (2-1) </v>
      </c>
      <c r="K30" s="9" t="s">
        <v>11</v>
      </c>
      <c r="L30" s="9">
        <v>1</v>
      </c>
      <c r="M30" s="9" t="str">
        <f>"M_"&amp;I30&amp;"_A_"&amp;H30&amp;"_B_"&amp;SUM(F30:G30)</f>
        <v>M_600_A_3_B_0</v>
      </c>
    </row>
    <row r="31" spans="1:13" x14ac:dyDescent="0.3">
      <c r="A31" s="9">
        <v>29</v>
      </c>
      <c r="B31" s="5">
        <v>0</v>
      </c>
      <c r="C31" s="5">
        <v>1</v>
      </c>
      <c r="D31" s="6">
        <v>2</v>
      </c>
      <c r="E31" s="6">
        <v>0</v>
      </c>
      <c r="F31" s="10">
        <v>0</v>
      </c>
      <c r="G31" s="10">
        <v>0</v>
      </c>
      <c r="H31" s="9">
        <f>SUM(B31:G31)</f>
        <v>3</v>
      </c>
      <c r="I31" s="9">
        <f>B31*200+C31*100+D31*250+E31*100+F31*125+G31*75</f>
        <v>600</v>
      </c>
      <c r="J31" s="9" t="str">
        <f t="shared" si="0"/>
        <v xml:space="preserve">PvP (0-1) Duelo (2-0) </v>
      </c>
      <c r="K31" s="9" t="s">
        <v>11</v>
      </c>
      <c r="L31" s="9">
        <v>1</v>
      </c>
      <c r="M31" s="9" t="str">
        <f>"M_"&amp;I31&amp;"_A_"&amp;H31&amp;"_B_"&amp;SUM(F31:G31)</f>
        <v>M_600_A_3_B_0</v>
      </c>
    </row>
    <row r="32" spans="1:13" x14ac:dyDescent="0.3">
      <c r="A32" s="9">
        <v>30</v>
      </c>
      <c r="B32" s="5">
        <v>3</v>
      </c>
      <c r="C32" s="5">
        <v>0</v>
      </c>
      <c r="D32" s="6">
        <v>0</v>
      </c>
      <c r="E32" s="6">
        <v>0</v>
      </c>
      <c r="F32" s="10">
        <v>0</v>
      </c>
      <c r="G32" s="10">
        <v>0</v>
      </c>
      <c r="H32" s="9">
        <f>SUM(B32:G32)</f>
        <v>3</v>
      </c>
      <c r="I32" s="9">
        <f>B32*200+C32*100+D32*250+E32*100+F32*125+G32*75</f>
        <v>600</v>
      </c>
      <c r="J32" s="9" t="str">
        <f t="shared" si="0"/>
        <v xml:space="preserve">PvP (3-0) </v>
      </c>
      <c r="K32" s="9" t="s">
        <v>11</v>
      </c>
      <c r="L32" s="9">
        <v>1</v>
      </c>
      <c r="M32" s="9" t="str">
        <f>"M_"&amp;I32&amp;"_A_"&amp;H32&amp;"_B_"&amp;SUM(F32:G32)</f>
        <v>M_600_A_3_B_0</v>
      </c>
    </row>
    <row r="33" spans="1:13" x14ac:dyDescent="0.3">
      <c r="A33" s="9">
        <v>31</v>
      </c>
      <c r="B33" s="5">
        <v>1</v>
      </c>
      <c r="C33" s="5">
        <v>0</v>
      </c>
      <c r="D33" s="6">
        <v>0</v>
      </c>
      <c r="E33" s="6">
        <v>0</v>
      </c>
      <c r="F33" s="10">
        <v>3</v>
      </c>
      <c r="G33" s="10">
        <v>0</v>
      </c>
      <c r="H33" s="9">
        <f>SUM(B33:G33)</f>
        <v>4</v>
      </c>
      <c r="I33" s="9">
        <f>B33*200+C33*100+D33*250+E33*100+F33*125+G33*75</f>
        <v>575</v>
      </c>
      <c r="J33" s="9" t="str">
        <f t="shared" si="0"/>
        <v>PvP (1-0) Barcos (3-0)</v>
      </c>
      <c r="K33" s="9" t="s">
        <v>11</v>
      </c>
      <c r="L33" s="9">
        <v>1</v>
      </c>
      <c r="M33" s="9" t="str">
        <f>"M_"&amp;I33&amp;"_A_"&amp;H33&amp;"_B_"&amp;SUM(F33:G33)</f>
        <v>M_575_A_4_B_3</v>
      </c>
    </row>
    <row r="34" spans="1:13" x14ac:dyDescent="0.3">
      <c r="A34" s="9">
        <v>32</v>
      </c>
      <c r="B34" s="5">
        <v>0</v>
      </c>
      <c r="C34" s="5">
        <v>0</v>
      </c>
      <c r="D34" s="6">
        <v>1</v>
      </c>
      <c r="E34" s="6">
        <v>2</v>
      </c>
      <c r="F34" s="10">
        <v>1</v>
      </c>
      <c r="G34" s="10">
        <v>0</v>
      </c>
      <c r="H34" s="9">
        <f>SUM(B34:G34)</f>
        <v>4</v>
      </c>
      <c r="I34" s="9">
        <f>B34*200+C34*100+D34*250+E34*100+F34*125+G34*75</f>
        <v>575</v>
      </c>
      <c r="J34" s="9" t="str">
        <f t="shared" si="0"/>
        <v>Duelo (1-2) Barcos (1-0)</v>
      </c>
      <c r="K34" s="9" t="s">
        <v>11</v>
      </c>
      <c r="L34" s="9">
        <v>1</v>
      </c>
      <c r="M34" s="9" t="str">
        <f>"M_"&amp;I34&amp;"_A_"&amp;H34&amp;"_B_"&amp;SUM(F34:G34)</f>
        <v>M_575_A_4_B_1</v>
      </c>
    </row>
    <row r="35" spans="1:13" x14ac:dyDescent="0.3">
      <c r="A35" s="9">
        <v>33</v>
      </c>
      <c r="B35" s="5">
        <v>2</v>
      </c>
      <c r="C35" s="5">
        <v>1</v>
      </c>
      <c r="D35" s="6">
        <v>0</v>
      </c>
      <c r="E35" s="6">
        <v>0</v>
      </c>
      <c r="F35" s="10">
        <v>0</v>
      </c>
      <c r="G35" s="10">
        <v>1</v>
      </c>
      <c r="H35" s="9">
        <f>SUM(B35:G35)</f>
        <v>4</v>
      </c>
      <c r="I35" s="9">
        <f>B35*200+C35*100+D35*250+E35*100+F35*125+G35*75</f>
        <v>575</v>
      </c>
      <c r="J35" s="9" t="str">
        <f t="shared" si="0"/>
        <v>PvP (2-1) Barcos (0-1)</v>
      </c>
      <c r="K35" s="9" t="s">
        <v>11</v>
      </c>
      <c r="L35" s="9">
        <v>1</v>
      </c>
      <c r="M35" s="9" t="str">
        <f>"M_"&amp;I35&amp;"_A_"&amp;H35&amp;"_B_"&amp;SUM(F35:G35)</f>
        <v>M_575_A_4_B_1</v>
      </c>
    </row>
    <row r="36" spans="1:13" x14ac:dyDescent="0.3">
      <c r="A36" s="9">
        <v>34</v>
      </c>
      <c r="B36" s="5">
        <v>0</v>
      </c>
      <c r="C36" s="5">
        <v>0</v>
      </c>
      <c r="D36" s="6">
        <v>2</v>
      </c>
      <c r="E36" s="6">
        <v>0</v>
      </c>
      <c r="F36" s="10">
        <v>0</v>
      </c>
      <c r="G36" s="10">
        <v>1</v>
      </c>
      <c r="H36" s="9">
        <f>SUM(B36:G36)</f>
        <v>3</v>
      </c>
      <c r="I36" s="9">
        <f>B36*200+C36*100+D36*250+E36*100+F36*125+G36*75</f>
        <v>575</v>
      </c>
      <c r="J36" s="9" t="str">
        <f t="shared" si="0"/>
        <v>Duelo (2-0) Barcos (0-1)</v>
      </c>
      <c r="K36" s="9" t="s">
        <v>11</v>
      </c>
      <c r="L36" s="9">
        <v>1</v>
      </c>
      <c r="M36" s="9" t="str">
        <f>"M_"&amp;I36&amp;"_A_"&amp;H36&amp;"_B_"&amp;SUM(F36:G36)</f>
        <v>M_575_A_3_B_1</v>
      </c>
    </row>
    <row r="37" spans="1:13" x14ac:dyDescent="0.3">
      <c r="A37" s="9">
        <v>35</v>
      </c>
      <c r="B37" s="5">
        <v>2</v>
      </c>
      <c r="C37" s="5">
        <v>0</v>
      </c>
      <c r="D37" s="6">
        <v>0</v>
      </c>
      <c r="E37" s="6">
        <v>0</v>
      </c>
      <c r="F37" s="10">
        <v>0</v>
      </c>
      <c r="G37" s="10">
        <v>2</v>
      </c>
      <c r="H37" s="9">
        <f>SUM(B37:G37)</f>
        <v>4</v>
      </c>
      <c r="I37" s="9">
        <f>B37*200+C37*100+D37*250+E37*100+F37*125+G37*75</f>
        <v>550</v>
      </c>
      <c r="J37" s="9" t="str">
        <f t="shared" si="0"/>
        <v>PvP (2-0) Barcos (0-2)</v>
      </c>
      <c r="K37" s="9" t="s">
        <v>11</v>
      </c>
      <c r="L37" s="9">
        <v>1</v>
      </c>
      <c r="M37" s="9" t="str">
        <f>"M_"&amp;I37&amp;"_A_"&amp;H37&amp;"_B_"&amp;SUM(F37:G37)</f>
        <v>M_550_A_4_B_2</v>
      </c>
    </row>
    <row r="38" spans="1:13" x14ac:dyDescent="0.3">
      <c r="A38" s="9">
        <v>36</v>
      </c>
      <c r="B38" s="5">
        <v>1</v>
      </c>
      <c r="C38" s="5">
        <v>1</v>
      </c>
      <c r="D38" s="6">
        <v>0</v>
      </c>
      <c r="E38" s="6">
        <v>0</v>
      </c>
      <c r="F38" s="10">
        <v>2</v>
      </c>
      <c r="G38" s="10">
        <v>0</v>
      </c>
      <c r="H38" s="9">
        <f>SUM(B38:G38)</f>
        <v>4</v>
      </c>
      <c r="I38" s="9">
        <f>B38*200+C38*100+D38*250+E38*100+F38*125+G38*75</f>
        <v>550</v>
      </c>
      <c r="J38" s="9" t="str">
        <f t="shared" si="0"/>
        <v>PvP (1-1) Barcos (2-0)</v>
      </c>
      <c r="K38" s="9" t="s">
        <v>11</v>
      </c>
      <c r="L38" s="9">
        <v>1</v>
      </c>
      <c r="M38" s="9" t="str">
        <f>"M_"&amp;I38&amp;"_A_"&amp;H38&amp;"_B_"&amp;SUM(F38:G38)</f>
        <v>M_550_A_4_B_2</v>
      </c>
    </row>
    <row r="39" spans="1:13" x14ac:dyDescent="0.3">
      <c r="A39" s="9">
        <v>37</v>
      </c>
      <c r="B39" s="5">
        <v>0</v>
      </c>
      <c r="C39" s="5">
        <v>1</v>
      </c>
      <c r="D39" s="6">
        <v>1</v>
      </c>
      <c r="E39" s="6">
        <v>2</v>
      </c>
      <c r="F39" s="10">
        <v>0</v>
      </c>
      <c r="G39" s="10">
        <v>0</v>
      </c>
      <c r="H39" s="9">
        <f>SUM(B39:G39)</f>
        <v>4</v>
      </c>
      <c r="I39" s="9">
        <f>B39*200+C39*100+D39*250+E39*100+F39*125+G39*75</f>
        <v>550</v>
      </c>
      <c r="J39" s="9" t="str">
        <f t="shared" si="0"/>
        <v xml:space="preserve">PvP (0-1) Duelo (1-2) </v>
      </c>
      <c r="K39" s="9" t="s">
        <v>11</v>
      </c>
      <c r="L39" s="9">
        <v>1</v>
      </c>
      <c r="M39" s="9" t="str">
        <f>"M_"&amp;I39&amp;"_A_"&amp;H39&amp;"_B_"&amp;SUM(F39:G39)</f>
        <v>M_550_A_4_B_0</v>
      </c>
    </row>
    <row r="40" spans="1:13" x14ac:dyDescent="0.3">
      <c r="A40" s="9">
        <v>38</v>
      </c>
      <c r="B40" s="5">
        <v>1</v>
      </c>
      <c r="C40" s="5">
        <v>0</v>
      </c>
      <c r="D40" s="6">
        <v>0</v>
      </c>
      <c r="E40" s="6">
        <v>0</v>
      </c>
      <c r="F40" s="10">
        <v>2</v>
      </c>
      <c r="G40" s="10">
        <v>1</v>
      </c>
      <c r="H40" s="9">
        <f>SUM(B40:G40)</f>
        <v>4</v>
      </c>
      <c r="I40" s="9">
        <f>B40*200+C40*100+D40*250+E40*100+F40*125+G40*75</f>
        <v>525</v>
      </c>
      <c r="J40" s="9" t="str">
        <f t="shared" si="0"/>
        <v>PvP (1-0) Barcos (2-1)</v>
      </c>
      <c r="K40" s="9" t="s">
        <v>11</v>
      </c>
      <c r="L40" s="9">
        <v>1</v>
      </c>
      <c r="M40" s="9" t="str">
        <f>"M_"&amp;I40&amp;"_A_"&amp;H40&amp;"_B_"&amp;SUM(F40:G40)</f>
        <v>M_525_A_4_B_3</v>
      </c>
    </row>
    <row r="41" spans="1:13" x14ac:dyDescent="0.3">
      <c r="A41" s="9">
        <v>39</v>
      </c>
      <c r="B41" s="5">
        <v>0</v>
      </c>
      <c r="C41" s="5">
        <v>0</v>
      </c>
      <c r="D41" s="6">
        <v>1</v>
      </c>
      <c r="E41" s="6">
        <v>2</v>
      </c>
      <c r="F41" s="10">
        <v>0</v>
      </c>
      <c r="G41" s="10">
        <v>1</v>
      </c>
      <c r="H41" s="9">
        <f>SUM(B41:G41)</f>
        <v>4</v>
      </c>
      <c r="I41" s="9">
        <f>B41*200+C41*100+D41*250+E41*100+F41*125+G41*75</f>
        <v>525</v>
      </c>
      <c r="J41" s="9" t="str">
        <f t="shared" si="0"/>
        <v>Duelo (1-2) Barcos (0-1)</v>
      </c>
      <c r="K41" s="9" t="s">
        <v>11</v>
      </c>
      <c r="L41" s="9">
        <v>1</v>
      </c>
      <c r="M41" s="9" t="str">
        <f>"M_"&amp;I41&amp;"_A_"&amp;H41&amp;"_B_"&amp;SUM(F41:G41)</f>
        <v>M_525_A_4_B_1</v>
      </c>
    </row>
    <row r="42" spans="1:13" x14ac:dyDescent="0.3">
      <c r="A42" s="9">
        <v>40</v>
      </c>
      <c r="B42" s="5">
        <v>1</v>
      </c>
      <c r="C42" s="5">
        <v>0</v>
      </c>
      <c r="D42" s="6">
        <v>0</v>
      </c>
      <c r="E42" s="6">
        <v>2</v>
      </c>
      <c r="F42" s="10">
        <v>1</v>
      </c>
      <c r="G42" s="10">
        <v>0</v>
      </c>
      <c r="H42" s="9">
        <f>SUM(B42:G42)</f>
        <v>4</v>
      </c>
      <c r="I42" s="9">
        <f>B42*200+C42*100+D42*250+E42*100+F42*125+G42*75</f>
        <v>525</v>
      </c>
      <c r="J42" s="9" t="str">
        <f t="shared" si="0"/>
        <v>PvP (1-0) Duelo (0-2) Barcos (1-0)</v>
      </c>
      <c r="K42" s="9" t="s">
        <v>11</v>
      </c>
      <c r="L42" s="9">
        <v>1</v>
      </c>
      <c r="M42" s="9" t="str">
        <f>"M_"&amp;I42&amp;"_A_"&amp;H42&amp;"_B_"&amp;SUM(F42:G42)</f>
        <v>M_525_A_4_B_1</v>
      </c>
    </row>
    <row r="43" spans="1:13" x14ac:dyDescent="0.3">
      <c r="A43" s="9">
        <v>41</v>
      </c>
      <c r="B43" s="5">
        <v>1</v>
      </c>
      <c r="C43" s="5">
        <v>2</v>
      </c>
      <c r="D43" s="6">
        <v>0</v>
      </c>
      <c r="E43" s="6">
        <v>0</v>
      </c>
      <c r="F43" s="10">
        <v>1</v>
      </c>
      <c r="G43" s="10">
        <v>0</v>
      </c>
      <c r="H43" s="9">
        <f>SUM(B43:G43)</f>
        <v>4</v>
      </c>
      <c r="I43" s="9">
        <f>B43*200+C43*100+D43*250+E43*100+F43*125+G43*75</f>
        <v>525</v>
      </c>
      <c r="J43" s="9" t="str">
        <f t="shared" si="0"/>
        <v>PvP (1-2) Barcos (1-0)</v>
      </c>
      <c r="K43" s="9" t="s">
        <v>11</v>
      </c>
      <c r="L43" s="9">
        <v>1</v>
      </c>
      <c r="M43" s="9" t="str">
        <f>"M_"&amp;I43&amp;"_A_"&amp;H43&amp;"_B_"&amp;SUM(F43:G43)</f>
        <v>M_525_A_4_B_1</v>
      </c>
    </row>
    <row r="44" spans="1:13" x14ac:dyDescent="0.3">
      <c r="A44" s="9">
        <v>42</v>
      </c>
      <c r="B44" s="5">
        <v>2</v>
      </c>
      <c r="C44" s="5">
        <v>0</v>
      </c>
      <c r="D44" s="6">
        <v>0</v>
      </c>
      <c r="E44" s="6">
        <v>0</v>
      </c>
      <c r="F44" s="10">
        <v>1</v>
      </c>
      <c r="G44" s="10">
        <v>0</v>
      </c>
      <c r="H44" s="9">
        <f>SUM(B44:G44)</f>
        <v>3</v>
      </c>
      <c r="I44" s="9">
        <f>B44*200+C44*100+D44*250+E44*100+F44*125+G44*75</f>
        <v>525</v>
      </c>
      <c r="J44" s="9" t="str">
        <f t="shared" si="0"/>
        <v>PvP (2-0) Barcos (1-0)</v>
      </c>
      <c r="K44" s="9" t="s">
        <v>11</v>
      </c>
      <c r="L44" s="9">
        <v>1</v>
      </c>
      <c r="M44" s="9" t="str">
        <f>"M_"&amp;I44&amp;"_A_"&amp;H44&amp;"_B_"&amp;SUM(F44:G44)</f>
        <v>M_525_A_3_B_1</v>
      </c>
    </row>
    <row r="45" spans="1:13" x14ac:dyDescent="0.3">
      <c r="A45" s="9">
        <v>43</v>
      </c>
      <c r="B45" s="5">
        <v>0</v>
      </c>
      <c r="C45" s="5">
        <v>0</v>
      </c>
      <c r="D45" s="6">
        <v>0</v>
      </c>
      <c r="E45" s="6">
        <v>0</v>
      </c>
      <c r="F45" s="10">
        <v>4</v>
      </c>
      <c r="G45" s="10">
        <v>0</v>
      </c>
      <c r="H45" s="9">
        <f>SUM(B45:G45)</f>
        <v>4</v>
      </c>
      <c r="I45" s="9">
        <f>B45*200+C45*100+D45*250+E45*100+F45*125+G45*75</f>
        <v>500</v>
      </c>
      <c r="J45" s="9" t="str">
        <f t="shared" si="0"/>
        <v>Barcos (4-0)</v>
      </c>
      <c r="K45" s="9" t="s">
        <v>11</v>
      </c>
      <c r="L45" s="9">
        <v>1</v>
      </c>
      <c r="M45" s="9" t="str">
        <f>"M_"&amp;I45&amp;"_A_"&amp;H45&amp;"_B_"&amp;SUM(F45:G45)</f>
        <v>M_500_A_4_B_4</v>
      </c>
    </row>
    <row r="46" spans="1:13" x14ac:dyDescent="0.3">
      <c r="A46" s="9">
        <v>44</v>
      </c>
      <c r="B46" s="5">
        <v>1</v>
      </c>
      <c r="C46" s="5">
        <v>1</v>
      </c>
      <c r="D46" s="6">
        <v>0</v>
      </c>
      <c r="E46" s="6">
        <v>0</v>
      </c>
      <c r="F46" s="10">
        <v>1</v>
      </c>
      <c r="G46" s="10">
        <v>1</v>
      </c>
      <c r="H46" s="9">
        <f>SUM(B46:G46)</f>
        <v>4</v>
      </c>
      <c r="I46" s="9">
        <f>B46*200+C46*100+D46*250+E46*100+F46*125+G46*75</f>
        <v>500</v>
      </c>
      <c r="J46" s="9" t="str">
        <f t="shared" si="0"/>
        <v>PvP (1-1) Barcos (1-1)</v>
      </c>
      <c r="K46" s="9" t="s">
        <v>11</v>
      </c>
      <c r="L46" s="9">
        <v>1</v>
      </c>
      <c r="M46" s="9" t="str">
        <f>"M_"&amp;I46&amp;"_A_"&amp;H46&amp;"_B_"&amp;SUM(F46:G46)</f>
        <v>M_500_A_4_B_2</v>
      </c>
    </row>
    <row r="47" spans="1:13" x14ac:dyDescent="0.3">
      <c r="A47" s="9">
        <v>45</v>
      </c>
      <c r="B47" s="5">
        <v>1</v>
      </c>
      <c r="C47" s="5">
        <v>1</v>
      </c>
      <c r="D47" s="6">
        <v>0</v>
      </c>
      <c r="E47" s="6">
        <v>2</v>
      </c>
      <c r="F47" s="10">
        <v>0</v>
      </c>
      <c r="G47" s="10">
        <v>0</v>
      </c>
      <c r="H47" s="9">
        <f>SUM(B47:G47)</f>
        <v>4</v>
      </c>
      <c r="I47" s="9">
        <f>B47*200+C47*100+D47*250+E47*100+F47*125+G47*75</f>
        <v>500</v>
      </c>
      <c r="J47" s="9" t="str">
        <f t="shared" si="0"/>
        <v xml:space="preserve">PvP (1-1) Duelo (0-2) </v>
      </c>
      <c r="K47" s="9" t="s">
        <v>11</v>
      </c>
      <c r="L47" s="9">
        <v>1</v>
      </c>
      <c r="M47" s="9" t="str">
        <f>"M_"&amp;I47&amp;"_A_"&amp;H47&amp;"_B_"&amp;SUM(F47:G47)</f>
        <v>M_500_A_4_B_0</v>
      </c>
    </row>
    <row r="48" spans="1:13" x14ac:dyDescent="0.3">
      <c r="A48" s="9">
        <v>46</v>
      </c>
      <c r="B48" s="5">
        <v>1</v>
      </c>
      <c r="C48" s="5">
        <v>3</v>
      </c>
      <c r="D48" s="6">
        <v>0</v>
      </c>
      <c r="E48" s="6">
        <v>0</v>
      </c>
      <c r="F48" s="10">
        <v>0</v>
      </c>
      <c r="G48" s="10">
        <v>0</v>
      </c>
      <c r="H48" s="9">
        <f>SUM(B48:G48)</f>
        <v>4</v>
      </c>
      <c r="I48" s="9">
        <f>B48*200+C48*100+D48*250+E48*100+F48*125+G48*75</f>
        <v>500</v>
      </c>
      <c r="J48" s="9" t="str">
        <f t="shared" si="0"/>
        <v xml:space="preserve">PvP (1-3) </v>
      </c>
      <c r="K48" s="9" t="s">
        <v>11</v>
      </c>
      <c r="L48" s="9">
        <v>1</v>
      </c>
      <c r="M48" s="9" t="str">
        <f>"M_"&amp;I48&amp;"_A_"&amp;H48&amp;"_B_"&amp;SUM(F48:G48)</f>
        <v>M_500_A_4_B_0</v>
      </c>
    </row>
    <row r="49" spans="1:13" x14ac:dyDescent="0.3">
      <c r="A49" s="9">
        <v>47</v>
      </c>
      <c r="B49" s="5">
        <v>2</v>
      </c>
      <c r="C49" s="5">
        <v>1</v>
      </c>
      <c r="D49" s="6">
        <v>0</v>
      </c>
      <c r="E49" s="6">
        <v>0</v>
      </c>
      <c r="F49" s="10">
        <v>0</v>
      </c>
      <c r="G49" s="10">
        <v>0</v>
      </c>
      <c r="H49" s="9">
        <f>SUM(B49:G49)</f>
        <v>3</v>
      </c>
      <c r="I49" s="9">
        <f>B49*200+C49*100+D49*250+E49*100+F49*125+G49*75</f>
        <v>500</v>
      </c>
      <c r="J49" s="9" t="str">
        <f t="shared" si="0"/>
        <v xml:space="preserve">PvP (2-1) </v>
      </c>
      <c r="K49" s="9" t="s">
        <v>11</v>
      </c>
      <c r="L49" s="9">
        <v>1</v>
      </c>
      <c r="M49" s="9" t="str">
        <f>"M_"&amp;I49&amp;"_A_"&amp;H49&amp;"_B_"&amp;SUM(F49:G49)</f>
        <v>M_500_A_3_B_0</v>
      </c>
    </row>
    <row r="50" spans="1:13" x14ac:dyDescent="0.3">
      <c r="A50" s="9">
        <v>48</v>
      </c>
      <c r="B50" s="5">
        <v>0</v>
      </c>
      <c r="C50" s="5">
        <v>0</v>
      </c>
      <c r="D50" s="6">
        <v>2</v>
      </c>
      <c r="E50" s="6">
        <v>0</v>
      </c>
      <c r="F50" s="10">
        <v>0</v>
      </c>
      <c r="G50" s="10">
        <v>0</v>
      </c>
      <c r="H50" s="9">
        <f>SUM(B50:G50)</f>
        <v>2</v>
      </c>
      <c r="I50" s="9">
        <f>B50*200+C50*100+D50*250+E50*100+F50*125+G50*75</f>
        <v>500</v>
      </c>
      <c r="J50" s="9" t="str">
        <f t="shared" si="0"/>
        <v xml:space="preserve">Duelo (2-0) </v>
      </c>
      <c r="K50" s="9" t="s">
        <v>11</v>
      </c>
      <c r="L50" s="9">
        <v>1</v>
      </c>
      <c r="M50" s="9" t="str">
        <f>"M_"&amp;I50&amp;"_A_"&amp;H50&amp;"_B_"&amp;SUM(F50:G50)</f>
        <v>M_500_A_2_B_0</v>
      </c>
    </row>
    <row r="51" spans="1:13" x14ac:dyDescent="0.3">
      <c r="A51" s="9">
        <v>49</v>
      </c>
      <c r="B51" s="5">
        <v>1</v>
      </c>
      <c r="C51" s="5">
        <v>0</v>
      </c>
      <c r="D51" s="6">
        <v>0</v>
      </c>
      <c r="E51" s="6">
        <v>0</v>
      </c>
      <c r="F51" s="10">
        <v>1</v>
      </c>
      <c r="G51" s="10">
        <v>2</v>
      </c>
      <c r="H51" s="9">
        <f>SUM(B51:G51)</f>
        <v>4</v>
      </c>
      <c r="I51" s="9">
        <f>B51*200+C51*100+D51*250+E51*100+F51*125+G51*75</f>
        <v>475</v>
      </c>
      <c r="J51" s="9" t="str">
        <f t="shared" si="0"/>
        <v>PvP (1-0) Barcos (1-2)</v>
      </c>
      <c r="K51" s="9" t="s">
        <v>11</v>
      </c>
      <c r="L51" s="9">
        <v>1</v>
      </c>
      <c r="M51" s="9" t="str">
        <f>"M_"&amp;I51&amp;"_A_"&amp;H51&amp;"_B_"&amp;SUM(F51:G51)</f>
        <v>M_475_A_4_B_3</v>
      </c>
    </row>
    <row r="52" spans="1:13" x14ac:dyDescent="0.3">
      <c r="A52" s="9">
        <v>50</v>
      </c>
      <c r="B52" s="5">
        <v>0</v>
      </c>
      <c r="C52" s="5">
        <v>1</v>
      </c>
      <c r="D52" s="6">
        <v>0</v>
      </c>
      <c r="E52" s="6">
        <v>0</v>
      </c>
      <c r="F52" s="10">
        <v>3</v>
      </c>
      <c r="G52" s="10">
        <v>0</v>
      </c>
      <c r="H52" s="9">
        <f>SUM(B52:G52)</f>
        <v>4</v>
      </c>
      <c r="I52" s="9">
        <f>B52*200+C52*100+D52*250+E52*100+F52*125+G52*75</f>
        <v>475</v>
      </c>
      <c r="J52" s="9" t="str">
        <f t="shared" si="0"/>
        <v>PvP (0-1) Barcos (3-0)</v>
      </c>
      <c r="K52" s="9" t="s">
        <v>11</v>
      </c>
      <c r="L52" s="9">
        <v>1</v>
      </c>
      <c r="M52" s="9" t="str">
        <f>"M_"&amp;I52&amp;"_A_"&amp;H52&amp;"_B_"&amp;SUM(F52:G52)</f>
        <v>M_475_A_4_B_3</v>
      </c>
    </row>
    <row r="53" spans="1:13" x14ac:dyDescent="0.3">
      <c r="A53" s="9">
        <v>51</v>
      </c>
      <c r="B53" s="5">
        <v>1</v>
      </c>
      <c r="C53" s="5">
        <v>0</v>
      </c>
      <c r="D53" s="6">
        <v>0</v>
      </c>
      <c r="E53" s="6">
        <v>2</v>
      </c>
      <c r="F53" s="10">
        <v>0</v>
      </c>
      <c r="G53" s="10">
        <v>1</v>
      </c>
      <c r="H53" s="9">
        <f>SUM(B53:G53)</f>
        <v>4</v>
      </c>
      <c r="I53" s="9">
        <f>B53*200+C53*100+D53*250+E53*100+F53*125+G53*75</f>
        <v>475</v>
      </c>
      <c r="J53" s="9" t="str">
        <f t="shared" si="0"/>
        <v>PvP (1-0) Duelo (0-2) Barcos (0-1)</v>
      </c>
      <c r="K53" s="9" t="s">
        <v>11</v>
      </c>
      <c r="L53" s="9">
        <v>1</v>
      </c>
      <c r="M53" s="9" t="str">
        <f>"M_"&amp;I53&amp;"_A_"&amp;H53&amp;"_B_"&amp;SUM(F53:G53)</f>
        <v>M_475_A_4_B_1</v>
      </c>
    </row>
    <row r="54" spans="1:13" x14ac:dyDescent="0.3">
      <c r="A54" s="9">
        <v>52</v>
      </c>
      <c r="B54" s="5">
        <v>1</v>
      </c>
      <c r="C54" s="5">
        <v>2</v>
      </c>
      <c r="D54" s="6">
        <v>0</v>
      </c>
      <c r="E54" s="6">
        <v>0</v>
      </c>
      <c r="F54" s="10">
        <v>0</v>
      </c>
      <c r="G54" s="10">
        <v>1</v>
      </c>
      <c r="H54" s="9">
        <f>SUM(B54:G54)</f>
        <v>4</v>
      </c>
      <c r="I54" s="9">
        <f>B54*200+C54*100+D54*250+E54*100+F54*125+G54*75</f>
        <v>475</v>
      </c>
      <c r="J54" s="9" t="str">
        <f t="shared" si="0"/>
        <v>PvP (1-2) Barcos (0-1)</v>
      </c>
      <c r="K54" s="9" t="s">
        <v>11</v>
      </c>
      <c r="L54" s="9">
        <v>1</v>
      </c>
      <c r="M54" s="9" t="str">
        <f>"M_"&amp;I54&amp;"_A_"&amp;H54&amp;"_B_"&amp;SUM(F54:G54)</f>
        <v>M_475_A_4_B_1</v>
      </c>
    </row>
    <row r="55" spans="1:13" x14ac:dyDescent="0.3">
      <c r="A55" s="9">
        <v>53</v>
      </c>
      <c r="B55" s="5">
        <v>2</v>
      </c>
      <c r="C55" s="5">
        <v>0</v>
      </c>
      <c r="D55" s="6">
        <v>0</v>
      </c>
      <c r="E55" s="6">
        <v>0</v>
      </c>
      <c r="F55" s="10">
        <v>0</v>
      </c>
      <c r="G55" s="10">
        <v>1</v>
      </c>
      <c r="H55" s="9">
        <f>SUM(B55:G55)</f>
        <v>3</v>
      </c>
      <c r="I55" s="9">
        <f>B55*200+C55*100+D55*250+E55*100+F55*125+G55*75</f>
        <v>475</v>
      </c>
      <c r="J55" s="9" t="str">
        <f t="shared" si="0"/>
        <v>PvP (2-0) Barcos (0-1)</v>
      </c>
      <c r="K55" s="9" t="s">
        <v>11</v>
      </c>
      <c r="L55" s="9">
        <v>1</v>
      </c>
      <c r="M55" s="9" t="str">
        <f>"M_"&amp;I55&amp;"_A_"&amp;H55&amp;"_B_"&amp;SUM(F55:G55)</f>
        <v>M_475_A_3_B_1</v>
      </c>
    </row>
    <row r="56" spans="1:13" x14ac:dyDescent="0.3">
      <c r="A56" s="9">
        <v>54</v>
      </c>
      <c r="B56" s="5">
        <v>0</v>
      </c>
      <c r="C56" s="5">
        <v>0</v>
      </c>
      <c r="D56" s="6">
        <v>0</v>
      </c>
      <c r="E56" s="6">
        <v>0</v>
      </c>
      <c r="F56" s="10">
        <v>3</v>
      </c>
      <c r="G56" s="10">
        <v>1</v>
      </c>
      <c r="H56" s="9">
        <f>SUM(B56:G56)</f>
        <v>4</v>
      </c>
      <c r="I56" s="9">
        <f>B56*200+C56*100+D56*250+E56*100+F56*125+G56*75</f>
        <v>450</v>
      </c>
      <c r="J56" s="9" t="str">
        <f t="shared" si="0"/>
        <v>Barcos (3-1)</v>
      </c>
      <c r="K56" s="9" t="s">
        <v>11</v>
      </c>
      <c r="L56" s="9">
        <v>1</v>
      </c>
      <c r="M56" s="9" t="str">
        <f>"M_"&amp;I56&amp;"_A_"&amp;H56&amp;"_B_"&amp;SUM(F56:G56)</f>
        <v>M_450_A_4_B_4</v>
      </c>
    </row>
    <row r="57" spans="1:13" x14ac:dyDescent="0.3">
      <c r="A57" s="9">
        <v>55</v>
      </c>
      <c r="B57" s="5">
        <v>0</v>
      </c>
      <c r="C57" s="5">
        <v>0</v>
      </c>
      <c r="D57" s="6">
        <v>0</v>
      </c>
      <c r="E57" s="6">
        <v>2</v>
      </c>
      <c r="F57" s="10">
        <v>2</v>
      </c>
      <c r="G57" s="10">
        <v>0</v>
      </c>
      <c r="H57" s="9">
        <f>SUM(B57:G57)</f>
        <v>4</v>
      </c>
      <c r="I57" s="9">
        <f>B57*200+C57*100+D57*250+E57*100+F57*125+G57*75</f>
        <v>450</v>
      </c>
      <c r="J57" s="9" t="str">
        <f t="shared" si="0"/>
        <v>Duelo (0-2) Barcos (2-0)</v>
      </c>
      <c r="K57" s="9" t="s">
        <v>11</v>
      </c>
      <c r="L57" s="9">
        <v>1</v>
      </c>
      <c r="M57" s="9" t="str">
        <f>"M_"&amp;I57&amp;"_A_"&amp;H57&amp;"_B_"&amp;SUM(F57:G57)</f>
        <v>M_450_A_4_B_2</v>
      </c>
    </row>
    <row r="58" spans="1:13" x14ac:dyDescent="0.3">
      <c r="A58" s="9">
        <v>56</v>
      </c>
      <c r="B58" s="5">
        <v>1</v>
      </c>
      <c r="C58" s="5">
        <v>1</v>
      </c>
      <c r="D58" s="6">
        <v>0</v>
      </c>
      <c r="E58" s="6">
        <v>0</v>
      </c>
      <c r="F58" s="10">
        <v>0</v>
      </c>
      <c r="G58" s="10">
        <v>2</v>
      </c>
      <c r="H58" s="9">
        <f>SUM(B58:G58)</f>
        <v>4</v>
      </c>
      <c r="I58" s="9">
        <f>B58*200+C58*100+D58*250+E58*100+F58*125+G58*75</f>
        <v>450</v>
      </c>
      <c r="J58" s="9" t="str">
        <f t="shared" si="0"/>
        <v>PvP (1-1) Barcos (0-2)</v>
      </c>
      <c r="K58" s="9" t="s">
        <v>11</v>
      </c>
      <c r="L58" s="9">
        <v>1</v>
      </c>
      <c r="M58" s="9" t="str">
        <f>"M_"&amp;I58&amp;"_A_"&amp;H58&amp;"_B_"&amp;SUM(F58:G58)</f>
        <v>M_450_A_4_B_2</v>
      </c>
    </row>
    <row r="59" spans="1:13" x14ac:dyDescent="0.3">
      <c r="A59" s="9">
        <v>57</v>
      </c>
      <c r="B59" s="5">
        <v>0</v>
      </c>
      <c r="C59" s="5">
        <v>2</v>
      </c>
      <c r="D59" s="6">
        <v>0</v>
      </c>
      <c r="E59" s="6">
        <v>0</v>
      </c>
      <c r="F59" s="10">
        <v>2</v>
      </c>
      <c r="G59" s="10">
        <v>0</v>
      </c>
      <c r="H59" s="9">
        <f>SUM(B59:G59)</f>
        <v>4</v>
      </c>
      <c r="I59" s="9">
        <f>B59*200+C59*100+D59*250+E59*100+F59*125+G59*75</f>
        <v>450</v>
      </c>
      <c r="J59" s="9" t="str">
        <f t="shared" si="0"/>
        <v>PvP (0-2) Barcos (2-0)</v>
      </c>
      <c r="K59" s="9" t="s">
        <v>11</v>
      </c>
      <c r="L59" s="9">
        <v>1</v>
      </c>
      <c r="M59" s="9" t="str">
        <f>"M_"&amp;I59&amp;"_A_"&amp;H59&amp;"_B_"&amp;SUM(F59:G59)</f>
        <v>M_450_A_4_B_2</v>
      </c>
    </row>
    <row r="60" spans="1:13" x14ac:dyDescent="0.3">
      <c r="A60" s="9">
        <v>58</v>
      </c>
      <c r="B60" s="5">
        <v>1</v>
      </c>
      <c r="C60" s="5">
        <v>0</v>
      </c>
      <c r="D60" s="6">
        <v>0</v>
      </c>
      <c r="E60" s="6">
        <v>0</v>
      </c>
      <c r="F60" s="10">
        <v>2</v>
      </c>
      <c r="G60" s="10">
        <v>0</v>
      </c>
      <c r="H60" s="9">
        <f>SUM(B60:G60)</f>
        <v>3</v>
      </c>
      <c r="I60" s="9">
        <f>B60*200+C60*100+D60*250+E60*100+F60*125+G60*75</f>
        <v>450</v>
      </c>
      <c r="J60" s="9" t="str">
        <f t="shared" si="0"/>
        <v>PvP (1-0) Barcos (2-0)</v>
      </c>
      <c r="K60" s="9" t="s">
        <v>11</v>
      </c>
      <c r="L60" s="9">
        <v>1</v>
      </c>
      <c r="M60" s="9" t="str">
        <f>"M_"&amp;I60&amp;"_A_"&amp;H60&amp;"_B_"&amp;SUM(F60:G60)</f>
        <v>M_450_A_3_B_2</v>
      </c>
    </row>
    <row r="61" spans="1:13" x14ac:dyDescent="0.3">
      <c r="A61" s="9">
        <v>59</v>
      </c>
      <c r="B61" s="5">
        <v>0</v>
      </c>
      <c r="C61" s="5">
        <v>0</v>
      </c>
      <c r="D61" s="6">
        <v>1</v>
      </c>
      <c r="E61" s="6">
        <v>2</v>
      </c>
      <c r="F61" s="10">
        <v>0</v>
      </c>
      <c r="G61" s="10">
        <v>0</v>
      </c>
      <c r="H61" s="9">
        <f>SUM(B61:G61)</f>
        <v>3</v>
      </c>
      <c r="I61" s="9">
        <f>B61*200+C61*100+D61*250+E61*100+F61*125+G61*75</f>
        <v>450</v>
      </c>
      <c r="J61" s="9" t="str">
        <f t="shared" si="0"/>
        <v xml:space="preserve">Duelo (1-2) </v>
      </c>
      <c r="K61" s="9" t="s">
        <v>11</v>
      </c>
      <c r="L61" s="9">
        <v>1</v>
      </c>
      <c r="M61" s="9" t="str">
        <f>"M_"&amp;I61&amp;"_A_"&amp;H61&amp;"_B_"&amp;SUM(F61:G61)</f>
        <v>M_450_A_3_B_0</v>
      </c>
    </row>
    <row r="62" spans="1:13" x14ac:dyDescent="0.3">
      <c r="A62" s="9">
        <v>60</v>
      </c>
      <c r="B62" s="5">
        <v>1</v>
      </c>
      <c r="C62" s="5">
        <v>0</v>
      </c>
      <c r="D62" s="6">
        <v>0</v>
      </c>
      <c r="E62" s="6">
        <v>0</v>
      </c>
      <c r="F62" s="10">
        <v>0</v>
      </c>
      <c r="G62" s="10">
        <v>3</v>
      </c>
      <c r="H62" s="9">
        <f>SUM(B62:G62)</f>
        <v>4</v>
      </c>
      <c r="I62" s="9">
        <f>B62*200+C62*100+D62*250+E62*100+F62*125+G62*75</f>
        <v>425</v>
      </c>
      <c r="J62" s="9" t="str">
        <f t="shared" si="0"/>
        <v>PvP (1-0) Barcos (0-3)</v>
      </c>
      <c r="K62" s="9" t="s">
        <v>11</v>
      </c>
      <c r="L62" s="9">
        <v>1</v>
      </c>
      <c r="M62" s="9" t="str">
        <f>"M_"&amp;I62&amp;"_A_"&amp;H62&amp;"_B_"&amp;SUM(F62:G62)</f>
        <v>M_425_A_4_B_3</v>
      </c>
    </row>
    <row r="63" spans="1:13" x14ac:dyDescent="0.3">
      <c r="A63" s="9">
        <v>61</v>
      </c>
      <c r="B63" s="5">
        <v>0</v>
      </c>
      <c r="C63" s="5">
        <v>1</v>
      </c>
      <c r="D63" s="6">
        <v>0</v>
      </c>
      <c r="E63" s="6">
        <v>0</v>
      </c>
      <c r="F63" s="10">
        <v>2</v>
      </c>
      <c r="G63" s="10">
        <v>1</v>
      </c>
      <c r="H63" s="9">
        <f>SUM(B63:G63)</f>
        <v>4</v>
      </c>
      <c r="I63" s="9">
        <f>B63*200+C63*100+D63*250+E63*100+F63*125+G63*75</f>
        <v>425</v>
      </c>
      <c r="J63" s="9" t="str">
        <f t="shared" si="0"/>
        <v>PvP (0-1) Barcos (2-1)</v>
      </c>
      <c r="K63" s="9" t="s">
        <v>11</v>
      </c>
      <c r="L63" s="9">
        <v>1</v>
      </c>
      <c r="M63" s="9" t="str">
        <f>"M_"&amp;I63&amp;"_A_"&amp;H63&amp;"_B_"&amp;SUM(F63:G63)</f>
        <v>M_425_A_4_B_3</v>
      </c>
    </row>
    <row r="64" spans="1:13" x14ac:dyDescent="0.3">
      <c r="A64" s="9">
        <v>62</v>
      </c>
      <c r="B64" s="5">
        <v>0</v>
      </c>
      <c r="C64" s="5">
        <v>1</v>
      </c>
      <c r="D64" s="6">
        <v>0</v>
      </c>
      <c r="E64" s="6">
        <v>2</v>
      </c>
      <c r="F64" s="10">
        <v>1</v>
      </c>
      <c r="G64" s="10">
        <v>0</v>
      </c>
      <c r="H64" s="9">
        <f>SUM(B64:G64)</f>
        <v>4</v>
      </c>
      <c r="I64" s="9">
        <f>B64*200+C64*100+D64*250+E64*100+F64*125+G64*75</f>
        <v>425</v>
      </c>
      <c r="J64" s="9" t="str">
        <f t="shared" si="0"/>
        <v>PvP (0-1) Duelo (0-2) Barcos (1-0)</v>
      </c>
      <c r="K64" s="9" t="s">
        <v>11</v>
      </c>
      <c r="L64" s="9">
        <v>1</v>
      </c>
      <c r="M64" s="9" t="str">
        <f>"M_"&amp;I64&amp;"_A_"&amp;H64&amp;"_B_"&amp;SUM(F64:G64)</f>
        <v>M_425_A_4_B_1</v>
      </c>
    </row>
    <row r="65" spans="1:13" x14ac:dyDescent="0.3">
      <c r="A65" s="9">
        <v>63</v>
      </c>
      <c r="B65" s="5">
        <v>0</v>
      </c>
      <c r="C65" s="5">
        <v>3</v>
      </c>
      <c r="D65" s="6">
        <v>0</v>
      </c>
      <c r="E65" s="6">
        <v>0</v>
      </c>
      <c r="F65" s="10">
        <v>1</v>
      </c>
      <c r="G65" s="10">
        <v>0</v>
      </c>
      <c r="H65" s="9">
        <f>SUM(B65:G65)</f>
        <v>4</v>
      </c>
      <c r="I65" s="9">
        <f>B65*200+C65*100+D65*250+E65*100+F65*125+G65*75</f>
        <v>425</v>
      </c>
      <c r="J65" s="9" t="str">
        <f t="shared" si="0"/>
        <v>PvP (0-3) Barcos (1-0)</v>
      </c>
      <c r="K65" s="9" t="s">
        <v>11</v>
      </c>
      <c r="L65" s="9">
        <v>1</v>
      </c>
      <c r="M65" s="9" t="str">
        <f>"M_"&amp;I65&amp;"_A_"&amp;H65&amp;"_B_"&amp;SUM(F65:G65)</f>
        <v>M_425_A_4_B_1</v>
      </c>
    </row>
    <row r="66" spans="1:13" x14ac:dyDescent="0.3">
      <c r="A66" s="9">
        <v>64</v>
      </c>
      <c r="B66" s="5">
        <v>1</v>
      </c>
      <c r="C66" s="5">
        <v>1</v>
      </c>
      <c r="D66" s="6">
        <v>0</v>
      </c>
      <c r="E66" s="6">
        <v>0</v>
      </c>
      <c r="F66" s="10">
        <v>1</v>
      </c>
      <c r="G66" s="10">
        <v>0</v>
      </c>
      <c r="H66" s="9">
        <f>SUM(B66:G66)</f>
        <v>3</v>
      </c>
      <c r="I66" s="9">
        <f>B66*200+C66*100+D66*250+E66*100+F66*125+G66*75</f>
        <v>425</v>
      </c>
      <c r="J66" s="9" t="str">
        <f t="shared" si="0"/>
        <v>PvP (1-1) Barcos (1-0)</v>
      </c>
      <c r="K66" s="9" t="s">
        <v>11</v>
      </c>
      <c r="L66" s="9">
        <v>1</v>
      </c>
      <c r="M66" s="9" t="str">
        <f>"M_"&amp;I66&amp;"_A_"&amp;H66&amp;"_B_"&amp;SUM(F66:G66)</f>
        <v>M_425_A_3_B_1</v>
      </c>
    </row>
    <row r="67" spans="1:13" x14ac:dyDescent="0.3">
      <c r="A67" s="9">
        <v>65</v>
      </c>
      <c r="B67" s="5">
        <v>0</v>
      </c>
      <c r="C67" s="5">
        <v>0</v>
      </c>
      <c r="D67" s="6">
        <v>0</v>
      </c>
      <c r="E67" s="6">
        <v>0</v>
      </c>
      <c r="F67" s="10">
        <v>2</v>
      </c>
      <c r="G67" s="10">
        <v>2</v>
      </c>
      <c r="H67" s="9">
        <f>SUM(B67:G67)</f>
        <v>4</v>
      </c>
      <c r="I67" s="9">
        <f>B67*200+C67*100+D67*250+E67*100+F67*125+G67*75</f>
        <v>400</v>
      </c>
      <c r="J67" s="9" t="str">
        <f t="shared" si="0"/>
        <v>Barcos (2-2)</v>
      </c>
      <c r="K67" s="9" t="s">
        <v>11</v>
      </c>
      <c r="L67" s="9">
        <v>1</v>
      </c>
      <c r="M67" s="9" t="str">
        <f>"M_"&amp;I67&amp;"_A_"&amp;H67&amp;"_B_"&amp;SUM(F67:G67)</f>
        <v>M_400_A_4_B_4</v>
      </c>
    </row>
    <row r="68" spans="1:13" x14ac:dyDescent="0.3">
      <c r="A68" s="9">
        <v>66</v>
      </c>
      <c r="B68" s="5">
        <v>0</v>
      </c>
      <c r="C68" s="5">
        <v>0</v>
      </c>
      <c r="D68" s="6">
        <v>0</v>
      </c>
      <c r="E68" s="6">
        <v>2</v>
      </c>
      <c r="F68" s="10">
        <v>1</v>
      </c>
      <c r="G68" s="10">
        <v>1</v>
      </c>
      <c r="H68" s="9">
        <f>SUM(B68:G68)</f>
        <v>4</v>
      </c>
      <c r="I68" s="9">
        <f>B68*200+C68*100+D68*250+E68*100+F68*125+G68*75</f>
        <v>400</v>
      </c>
      <c r="J68" s="9" t="str">
        <f t="shared" ref="J68:J112" si="1">IF(SUM(B68:G68)=0,"Sin ataques",_xlfn.CONCAT(IF(B68+C68&gt;0,"PvP ("&amp;B68&amp;"-"&amp;C68&amp;") ",""),IF(D68+E68&gt;0,"Duelo ("&amp;D68&amp;"-"&amp;E68&amp;") ",""),IF(F68+G68&gt;0,"Barcos ("&amp;F68&amp;"-"&amp;G68&amp;")","")))</f>
        <v>Duelo (0-2) Barcos (1-1)</v>
      </c>
      <c r="K68" s="9" t="s">
        <v>11</v>
      </c>
      <c r="L68" s="9">
        <v>1</v>
      </c>
      <c r="M68" s="9" t="str">
        <f>"M_"&amp;I68&amp;"_A_"&amp;H68&amp;"_B_"&amp;SUM(F68:G68)</f>
        <v>M_400_A_4_B_2</v>
      </c>
    </row>
    <row r="69" spans="1:13" x14ac:dyDescent="0.3">
      <c r="A69" s="9">
        <v>67</v>
      </c>
      <c r="B69" s="5">
        <v>0</v>
      </c>
      <c r="C69" s="5">
        <v>2</v>
      </c>
      <c r="D69" s="6">
        <v>0</v>
      </c>
      <c r="E69" s="6">
        <v>0</v>
      </c>
      <c r="F69" s="10">
        <v>1</v>
      </c>
      <c r="G69" s="10">
        <v>1</v>
      </c>
      <c r="H69" s="9">
        <f>SUM(B69:G69)</f>
        <v>4</v>
      </c>
      <c r="I69" s="9">
        <f>B69*200+C69*100+D69*250+E69*100+F69*125+G69*75</f>
        <v>400</v>
      </c>
      <c r="J69" s="9" t="str">
        <f t="shared" si="1"/>
        <v>PvP (0-2) Barcos (1-1)</v>
      </c>
      <c r="K69" s="9" t="s">
        <v>11</v>
      </c>
      <c r="L69" s="9">
        <v>1</v>
      </c>
      <c r="M69" s="9" t="str">
        <f>"M_"&amp;I69&amp;"_A_"&amp;H69&amp;"_B_"&amp;SUM(F69:G69)</f>
        <v>M_400_A_4_B_2</v>
      </c>
    </row>
    <row r="70" spans="1:13" x14ac:dyDescent="0.3">
      <c r="A70" s="9">
        <v>68</v>
      </c>
      <c r="B70" s="5">
        <v>0</v>
      </c>
      <c r="C70" s="5">
        <v>2</v>
      </c>
      <c r="D70" s="6">
        <v>0</v>
      </c>
      <c r="E70" s="6">
        <v>2</v>
      </c>
      <c r="F70" s="10">
        <v>0</v>
      </c>
      <c r="G70" s="10">
        <v>0</v>
      </c>
      <c r="H70" s="9">
        <f>SUM(B70:G70)</f>
        <v>4</v>
      </c>
      <c r="I70" s="9">
        <f>B70*200+C70*100+D70*250+E70*100+F70*125+G70*75</f>
        <v>400</v>
      </c>
      <c r="J70" s="9" t="str">
        <f t="shared" si="1"/>
        <v xml:space="preserve">PvP (0-2) Duelo (0-2) </v>
      </c>
      <c r="K70" s="9" t="s">
        <v>11</v>
      </c>
      <c r="L70" s="9">
        <v>1</v>
      </c>
      <c r="M70" s="9" t="str">
        <f>"M_"&amp;I70&amp;"_A_"&amp;H70&amp;"_B_"&amp;SUM(F70:G70)</f>
        <v>M_400_A_4_B_0</v>
      </c>
    </row>
    <row r="71" spans="1:13" x14ac:dyDescent="0.3">
      <c r="A71" s="9">
        <v>69</v>
      </c>
      <c r="B71" s="5">
        <v>0</v>
      </c>
      <c r="C71" s="5">
        <v>4</v>
      </c>
      <c r="D71" s="6">
        <v>0</v>
      </c>
      <c r="E71" s="6">
        <v>0</v>
      </c>
      <c r="F71" s="10">
        <v>0</v>
      </c>
      <c r="G71" s="10">
        <v>0</v>
      </c>
      <c r="H71" s="9">
        <f>SUM(B71:G71)</f>
        <v>4</v>
      </c>
      <c r="I71" s="9">
        <f>B71*200+C71*100+D71*250+E71*100+F71*125+G71*75</f>
        <v>400</v>
      </c>
      <c r="J71" s="9" t="str">
        <f t="shared" si="1"/>
        <v xml:space="preserve">PvP (0-4) </v>
      </c>
      <c r="K71" s="9" t="s">
        <v>11</v>
      </c>
      <c r="L71" s="9">
        <v>1</v>
      </c>
      <c r="M71" s="9" t="str">
        <f>"M_"&amp;I71&amp;"_A_"&amp;H71&amp;"_B_"&amp;SUM(F71:G71)</f>
        <v>M_400_A_4_B_0</v>
      </c>
    </row>
    <row r="72" spans="1:13" x14ac:dyDescent="0.3">
      <c r="A72" s="9">
        <v>70</v>
      </c>
      <c r="B72" s="5">
        <v>1</v>
      </c>
      <c r="C72" s="5">
        <v>0</v>
      </c>
      <c r="D72" s="6">
        <v>0</v>
      </c>
      <c r="E72" s="6">
        <v>0</v>
      </c>
      <c r="F72" s="10">
        <v>1</v>
      </c>
      <c r="G72" s="10">
        <v>1</v>
      </c>
      <c r="H72" s="9">
        <f>SUM(B72:G72)</f>
        <v>3</v>
      </c>
      <c r="I72" s="9">
        <f>B72*200+C72*100+D72*250+E72*100+F72*125+G72*75</f>
        <v>400</v>
      </c>
      <c r="J72" s="9" t="str">
        <f t="shared" si="1"/>
        <v>PvP (1-0) Barcos (1-1)</v>
      </c>
      <c r="K72" s="9" t="s">
        <v>11</v>
      </c>
      <c r="L72" s="9">
        <v>1</v>
      </c>
      <c r="M72" s="9" t="str">
        <f>"M_"&amp;I72&amp;"_A_"&amp;H72&amp;"_B_"&amp;SUM(F72:G72)</f>
        <v>M_400_A_3_B_2</v>
      </c>
    </row>
    <row r="73" spans="1:13" x14ac:dyDescent="0.3">
      <c r="A73" s="9">
        <v>71</v>
      </c>
      <c r="B73" s="5">
        <v>1</v>
      </c>
      <c r="C73" s="5">
        <v>0</v>
      </c>
      <c r="D73" s="6">
        <v>0</v>
      </c>
      <c r="E73" s="6">
        <v>2</v>
      </c>
      <c r="F73" s="10">
        <v>0</v>
      </c>
      <c r="G73" s="10">
        <v>0</v>
      </c>
      <c r="H73" s="9">
        <f>SUM(B73:G73)</f>
        <v>3</v>
      </c>
      <c r="I73" s="9">
        <f>B73*200+C73*100+D73*250+E73*100+F73*125+G73*75</f>
        <v>400</v>
      </c>
      <c r="J73" s="9" t="str">
        <f t="shared" si="1"/>
        <v xml:space="preserve">PvP (1-0) Duelo (0-2) </v>
      </c>
      <c r="K73" s="9" t="s">
        <v>11</v>
      </c>
      <c r="L73" s="9">
        <v>1</v>
      </c>
      <c r="M73" s="9" t="str">
        <f>"M_"&amp;I73&amp;"_A_"&amp;H73&amp;"_B_"&amp;SUM(F73:G73)</f>
        <v>M_400_A_3_B_0</v>
      </c>
    </row>
    <row r="74" spans="1:13" x14ac:dyDescent="0.3">
      <c r="A74" s="9">
        <v>72</v>
      </c>
      <c r="B74" s="5">
        <v>1</v>
      </c>
      <c r="C74" s="5">
        <v>2</v>
      </c>
      <c r="D74" s="6">
        <v>0</v>
      </c>
      <c r="E74" s="6">
        <v>0</v>
      </c>
      <c r="F74" s="10">
        <v>0</v>
      </c>
      <c r="G74" s="10">
        <v>0</v>
      </c>
      <c r="H74" s="9">
        <f>SUM(B74:G74)</f>
        <v>3</v>
      </c>
      <c r="I74" s="9">
        <f>B74*200+C74*100+D74*250+E74*100+F74*125+G74*75</f>
        <v>400</v>
      </c>
      <c r="J74" s="9" t="str">
        <f t="shared" si="1"/>
        <v xml:space="preserve">PvP (1-2) </v>
      </c>
      <c r="K74" s="9" t="s">
        <v>11</v>
      </c>
      <c r="L74" s="9">
        <v>1</v>
      </c>
      <c r="M74" s="9" t="str">
        <f>"M_"&amp;I74&amp;"_A_"&amp;H74&amp;"_B_"&amp;SUM(F74:G74)</f>
        <v>M_400_A_3_B_0</v>
      </c>
    </row>
    <row r="75" spans="1:13" x14ac:dyDescent="0.3">
      <c r="A75" s="9">
        <v>73</v>
      </c>
      <c r="B75" s="5">
        <v>2</v>
      </c>
      <c r="C75" s="5">
        <v>0</v>
      </c>
      <c r="D75" s="6">
        <v>0</v>
      </c>
      <c r="E75" s="6">
        <v>0</v>
      </c>
      <c r="F75" s="10">
        <v>0</v>
      </c>
      <c r="G75" s="10">
        <v>0</v>
      </c>
      <c r="H75" s="9">
        <f>SUM(B75:G75)</f>
        <v>2</v>
      </c>
      <c r="I75" s="9">
        <f>B75*200+C75*100+D75*250+E75*100+F75*125+G75*75</f>
        <v>400</v>
      </c>
      <c r="J75" s="9" t="str">
        <f t="shared" si="1"/>
        <v xml:space="preserve">PvP (2-0) </v>
      </c>
      <c r="K75" s="9" t="s">
        <v>11</v>
      </c>
      <c r="L75" s="9">
        <v>1</v>
      </c>
      <c r="M75" s="9" t="str">
        <f>"M_"&amp;I75&amp;"_A_"&amp;H75&amp;"_B_"&amp;SUM(F75:G75)</f>
        <v>M_400_A_2_B_0</v>
      </c>
    </row>
    <row r="76" spans="1:13" x14ac:dyDescent="0.3">
      <c r="A76" s="9">
        <v>74</v>
      </c>
      <c r="B76" s="5">
        <v>0</v>
      </c>
      <c r="C76" s="5">
        <v>1</v>
      </c>
      <c r="D76" s="6">
        <v>0</v>
      </c>
      <c r="E76" s="6">
        <v>0</v>
      </c>
      <c r="F76" s="10">
        <v>1</v>
      </c>
      <c r="G76" s="10">
        <v>2</v>
      </c>
      <c r="H76" s="9">
        <f>SUM(B76:G76)</f>
        <v>4</v>
      </c>
      <c r="I76" s="9">
        <f>B76*200+C76*100+D76*250+E76*100+F76*125+G76*75</f>
        <v>375</v>
      </c>
      <c r="J76" s="9" t="str">
        <f t="shared" si="1"/>
        <v>PvP (0-1) Barcos (1-2)</v>
      </c>
      <c r="K76" s="9" t="s">
        <v>11</v>
      </c>
      <c r="L76" s="9">
        <v>1</v>
      </c>
      <c r="M76" s="9" t="str">
        <f>"M_"&amp;I76&amp;"_A_"&amp;H76&amp;"_B_"&amp;SUM(F76:G76)</f>
        <v>M_375_A_4_B_3</v>
      </c>
    </row>
    <row r="77" spans="1:13" x14ac:dyDescent="0.3">
      <c r="A77" s="9">
        <v>75</v>
      </c>
      <c r="B77" s="5">
        <v>0</v>
      </c>
      <c r="C77" s="5">
        <v>1</v>
      </c>
      <c r="D77" s="6">
        <v>0</v>
      </c>
      <c r="E77" s="6">
        <v>2</v>
      </c>
      <c r="F77" s="10">
        <v>0</v>
      </c>
      <c r="G77" s="10">
        <v>1</v>
      </c>
      <c r="H77" s="9">
        <f>SUM(B77:G77)</f>
        <v>4</v>
      </c>
      <c r="I77" s="9">
        <f>B77*200+C77*100+D77*250+E77*100+F77*125+G77*75</f>
        <v>375</v>
      </c>
      <c r="J77" s="9" t="str">
        <f t="shared" si="1"/>
        <v>PvP (0-1) Duelo (0-2) Barcos (0-1)</v>
      </c>
      <c r="K77" s="9" t="s">
        <v>11</v>
      </c>
      <c r="L77" s="9">
        <v>1</v>
      </c>
      <c r="M77" s="9" t="str">
        <f>"M_"&amp;I77&amp;"_A_"&amp;H77&amp;"_B_"&amp;SUM(F77:G77)</f>
        <v>M_375_A_4_B_1</v>
      </c>
    </row>
    <row r="78" spans="1:13" x14ac:dyDescent="0.3">
      <c r="A78" s="9">
        <v>76</v>
      </c>
      <c r="B78" s="5">
        <v>0</v>
      </c>
      <c r="C78" s="5">
        <v>3</v>
      </c>
      <c r="D78" s="6">
        <v>0</v>
      </c>
      <c r="E78" s="6">
        <v>0</v>
      </c>
      <c r="F78" s="10">
        <v>0</v>
      </c>
      <c r="G78" s="10">
        <v>1</v>
      </c>
      <c r="H78" s="9">
        <f>SUM(B78:G78)</f>
        <v>4</v>
      </c>
      <c r="I78" s="9">
        <f>B78*200+C78*100+D78*250+E78*100+F78*125+G78*75</f>
        <v>375</v>
      </c>
      <c r="J78" s="9" t="str">
        <f t="shared" si="1"/>
        <v>PvP (0-3) Barcos (0-1)</v>
      </c>
      <c r="K78" s="9" t="s">
        <v>11</v>
      </c>
      <c r="L78" s="9">
        <v>1</v>
      </c>
      <c r="M78" s="9" t="str">
        <f>"M_"&amp;I78&amp;"_A_"&amp;H78&amp;"_B_"&amp;SUM(F78:G78)</f>
        <v>M_375_A_4_B_1</v>
      </c>
    </row>
    <row r="79" spans="1:13" x14ac:dyDescent="0.3">
      <c r="A79" s="9">
        <v>77</v>
      </c>
      <c r="B79" s="5">
        <v>0</v>
      </c>
      <c r="C79" s="5">
        <v>0</v>
      </c>
      <c r="D79" s="6">
        <v>0</v>
      </c>
      <c r="E79" s="6">
        <v>0</v>
      </c>
      <c r="F79" s="10">
        <v>3</v>
      </c>
      <c r="G79" s="10">
        <v>0</v>
      </c>
      <c r="H79" s="9">
        <f>SUM(B79:G79)</f>
        <v>3</v>
      </c>
      <c r="I79" s="9">
        <f>B79*200+C79*100+D79*250+E79*100+F79*125+G79*75</f>
        <v>375</v>
      </c>
      <c r="J79" s="9" t="str">
        <f t="shared" si="1"/>
        <v>Barcos (3-0)</v>
      </c>
      <c r="K79" s="9" t="s">
        <v>11</v>
      </c>
      <c r="L79" s="9">
        <v>1</v>
      </c>
      <c r="M79" s="9" t="str">
        <f>"M_"&amp;I79&amp;"_A_"&amp;H79&amp;"_B_"&amp;SUM(F79:G79)</f>
        <v>M_375_A_3_B_3</v>
      </c>
    </row>
    <row r="80" spans="1:13" x14ac:dyDescent="0.3">
      <c r="A80" s="9">
        <v>78</v>
      </c>
      <c r="B80" s="5">
        <v>1</v>
      </c>
      <c r="C80" s="5">
        <v>1</v>
      </c>
      <c r="D80" s="6">
        <v>0</v>
      </c>
      <c r="E80" s="6">
        <v>0</v>
      </c>
      <c r="F80" s="10">
        <v>0</v>
      </c>
      <c r="G80" s="10">
        <v>1</v>
      </c>
      <c r="H80" s="9">
        <f>SUM(B80:G80)</f>
        <v>3</v>
      </c>
      <c r="I80" s="9">
        <f>B80*200+C80*100+D80*250+E80*100+F80*125+G80*75</f>
        <v>375</v>
      </c>
      <c r="J80" s="9" t="str">
        <f t="shared" si="1"/>
        <v>PvP (1-1) Barcos (0-1)</v>
      </c>
      <c r="K80" s="9" t="s">
        <v>11</v>
      </c>
      <c r="L80" s="9">
        <v>1</v>
      </c>
      <c r="M80" s="9" t="str">
        <f>"M_"&amp;I80&amp;"_A_"&amp;H80&amp;"_B_"&amp;SUM(F80:G80)</f>
        <v>M_375_A_3_B_1</v>
      </c>
    </row>
    <row r="81" spans="1:13" x14ac:dyDescent="0.3">
      <c r="A81" s="9">
        <v>79</v>
      </c>
      <c r="B81" s="5">
        <v>0</v>
      </c>
      <c r="C81" s="5">
        <v>0</v>
      </c>
      <c r="D81" s="6">
        <v>0</v>
      </c>
      <c r="E81" s="6">
        <v>0</v>
      </c>
      <c r="F81" s="10">
        <v>1</v>
      </c>
      <c r="G81" s="10">
        <v>3</v>
      </c>
      <c r="H81" s="9">
        <f>SUM(B81:G81)</f>
        <v>4</v>
      </c>
      <c r="I81" s="9">
        <f>B81*200+C81*100+D81*250+E81*100+F81*125+G81*75</f>
        <v>350</v>
      </c>
      <c r="J81" s="9" t="str">
        <f t="shared" si="1"/>
        <v>Barcos (1-3)</v>
      </c>
      <c r="K81" s="9" t="s">
        <v>11</v>
      </c>
      <c r="L81" s="9">
        <v>1</v>
      </c>
      <c r="M81" s="9" t="str">
        <f>"M_"&amp;I81&amp;"_A_"&amp;H81&amp;"_B_"&amp;SUM(F81:G81)</f>
        <v>M_350_A_4_B_4</v>
      </c>
    </row>
    <row r="82" spans="1:13" x14ac:dyDescent="0.3">
      <c r="A82" s="9">
        <v>80</v>
      </c>
      <c r="B82" s="5">
        <v>0</v>
      </c>
      <c r="C82" s="5">
        <v>0</v>
      </c>
      <c r="D82" s="6">
        <v>0</v>
      </c>
      <c r="E82" s="6">
        <v>2</v>
      </c>
      <c r="F82" s="10">
        <v>0</v>
      </c>
      <c r="G82" s="10">
        <v>2</v>
      </c>
      <c r="H82" s="9">
        <f>SUM(B82:G82)</f>
        <v>4</v>
      </c>
      <c r="I82" s="9">
        <f>B82*200+C82*100+D82*250+E82*100+F82*125+G82*75</f>
        <v>350</v>
      </c>
      <c r="J82" s="9" t="str">
        <f t="shared" si="1"/>
        <v>Duelo (0-2) Barcos (0-2)</v>
      </c>
      <c r="K82" s="9" t="s">
        <v>11</v>
      </c>
      <c r="L82" s="9">
        <v>1</v>
      </c>
      <c r="M82" s="9" t="str">
        <f>"M_"&amp;I82&amp;"_A_"&amp;H82&amp;"_B_"&amp;SUM(F82:G82)</f>
        <v>M_350_A_4_B_2</v>
      </c>
    </row>
    <row r="83" spans="1:13" x14ac:dyDescent="0.3">
      <c r="A83" s="9">
        <v>81</v>
      </c>
      <c r="B83" s="5">
        <v>0</v>
      </c>
      <c r="C83" s="5">
        <v>2</v>
      </c>
      <c r="D83" s="6">
        <v>0</v>
      </c>
      <c r="E83" s="6">
        <v>0</v>
      </c>
      <c r="F83" s="10">
        <v>0</v>
      </c>
      <c r="G83" s="10">
        <v>2</v>
      </c>
      <c r="H83" s="9">
        <f>SUM(B83:G83)</f>
        <v>4</v>
      </c>
      <c r="I83" s="9">
        <f>B83*200+C83*100+D83*250+E83*100+F83*125+G83*75</f>
        <v>350</v>
      </c>
      <c r="J83" s="9" t="str">
        <f t="shared" si="1"/>
        <v>PvP (0-2) Barcos (0-2)</v>
      </c>
      <c r="K83" s="9" t="s">
        <v>11</v>
      </c>
      <c r="L83" s="9">
        <v>1</v>
      </c>
      <c r="M83" s="9" t="str">
        <f>"M_"&amp;I83&amp;"_A_"&amp;H83&amp;"_B_"&amp;SUM(F83:G83)</f>
        <v>M_350_A_4_B_2</v>
      </c>
    </row>
    <row r="84" spans="1:13" x14ac:dyDescent="0.3">
      <c r="A84" s="9">
        <v>82</v>
      </c>
      <c r="B84" s="5">
        <v>1</v>
      </c>
      <c r="C84" s="5">
        <v>0</v>
      </c>
      <c r="D84" s="6">
        <v>0</v>
      </c>
      <c r="E84" s="6">
        <v>0</v>
      </c>
      <c r="F84" s="10">
        <v>0</v>
      </c>
      <c r="G84" s="10">
        <v>2</v>
      </c>
      <c r="H84" s="9">
        <f>SUM(B84:G84)</f>
        <v>3</v>
      </c>
      <c r="I84" s="9">
        <f>B84*200+C84*100+D84*250+E84*100+F84*125+G84*75</f>
        <v>350</v>
      </c>
      <c r="J84" s="9" t="str">
        <f t="shared" si="1"/>
        <v>PvP (1-0) Barcos (0-2)</v>
      </c>
      <c r="K84" s="9" t="s">
        <v>11</v>
      </c>
      <c r="L84" s="9">
        <v>1</v>
      </c>
      <c r="M84" s="9" t="str">
        <f>"M_"&amp;I84&amp;"_A_"&amp;H84&amp;"_B_"&amp;SUM(F84:G84)</f>
        <v>M_350_A_3_B_2</v>
      </c>
    </row>
    <row r="85" spans="1:13" x14ac:dyDescent="0.3">
      <c r="A85" s="9">
        <v>83</v>
      </c>
      <c r="B85" s="5">
        <v>0</v>
      </c>
      <c r="C85" s="5">
        <v>1</v>
      </c>
      <c r="D85" s="6">
        <v>0</v>
      </c>
      <c r="E85" s="6">
        <v>0</v>
      </c>
      <c r="F85" s="10">
        <v>2</v>
      </c>
      <c r="G85" s="10">
        <v>0</v>
      </c>
      <c r="H85" s="9">
        <f>SUM(B85:G85)</f>
        <v>3</v>
      </c>
      <c r="I85" s="9">
        <f>B85*200+C85*100+D85*250+E85*100+F85*125+G85*75</f>
        <v>350</v>
      </c>
      <c r="J85" s="9" t="str">
        <f t="shared" si="1"/>
        <v>PvP (0-1) Barcos (2-0)</v>
      </c>
      <c r="K85" s="9" t="s">
        <v>11</v>
      </c>
      <c r="L85" s="9">
        <v>1</v>
      </c>
      <c r="M85" s="9" t="str">
        <f>"M_"&amp;I85&amp;"_A_"&amp;H85&amp;"_B_"&amp;SUM(F85:G85)</f>
        <v>M_350_A_3_B_2</v>
      </c>
    </row>
    <row r="86" spans="1:13" x14ac:dyDescent="0.3">
      <c r="A86" s="9">
        <v>84</v>
      </c>
      <c r="B86" s="5">
        <v>0</v>
      </c>
      <c r="C86" s="5">
        <v>1</v>
      </c>
      <c r="D86" s="6">
        <v>0</v>
      </c>
      <c r="E86" s="6">
        <v>0</v>
      </c>
      <c r="F86" s="10">
        <v>0</v>
      </c>
      <c r="G86" s="10">
        <v>3</v>
      </c>
      <c r="H86" s="9">
        <f>SUM(B86:G86)</f>
        <v>4</v>
      </c>
      <c r="I86" s="9">
        <f>B86*200+C86*100+D86*250+E86*100+F86*125+G86*75</f>
        <v>325</v>
      </c>
      <c r="J86" s="9" t="str">
        <f t="shared" si="1"/>
        <v>PvP (0-1) Barcos (0-3)</v>
      </c>
      <c r="K86" s="9" t="s">
        <v>11</v>
      </c>
      <c r="L86" s="9">
        <v>1</v>
      </c>
      <c r="M86" s="9" t="str">
        <f>"M_"&amp;I86&amp;"_A_"&amp;H86&amp;"_B_"&amp;SUM(F86:G86)</f>
        <v>M_325_A_4_B_3</v>
      </c>
    </row>
    <row r="87" spans="1:13" x14ac:dyDescent="0.3">
      <c r="A87" s="9">
        <v>85</v>
      </c>
      <c r="B87" s="5">
        <v>0</v>
      </c>
      <c r="C87" s="5">
        <v>0</v>
      </c>
      <c r="D87" s="6">
        <v>0</v>
      </c>
      <c r="E87" s="6">
        <v>0</v>
      </c>
      <c r="F87" s="10">
        <v>2</v>
      </c>
      <c r="G87" s="10">
        <v>1</v>
      </c>
      <c r="H87" s="9">
        <f>SUM(B87:G87)</f>
        <v>3</v>
      </c>
      <c r="I87" s="9">
        <f>B87*200+C87*100+D87*250+E87*100+F87*125+G87*75</f>
        <v>325</v>
      </c>
      <c r="J87" s="9" t="str">
        <f t="shared" si="1"/>
        <v>Barcos (2-1)</v>
      </c>
      <c r="K87" s="9" t="s">
        <v>11</v>
      </c>
      <c r="L87" s="9">
        <v>1</v>
      </c>
      <c r="M87" s="9" t="str">
        <f>"M_"&amp;I87&amp;"_A_"&amp;H87&amp;"_B_"&amp;SUM(F87:G87)</f>
        <v>M_325_A_3_B_3</v>
      </c>
    </row>
    <row r="88" spans="1:13" x14ac:dyDescent="0.3">
      <c r="A88" s="9">
        <v>86</v>
      </c>
      <c r="B88" s="5">
        <v>0</v>
      </c>
      <c r="C88" s="5">
        <v>0</v>
      </c>
      <c r="D88" s="6">
        <v>0</v>
      </c>
      <c r="E88" s="6">
        <v>2</v>
      </c>
      <c r="F88" s="10">
        <v>1</v>
      </c>
      <c r="G88" s="10">
        <v>0</v>
      </c>
      <c r="H88" s="9">
        <f>SUM(B88:G88)</f>
        <v>3</v>
      </c>
      <c r="I88" s="9">
        <f>B88*200+C88*100+D88*250+E88*100+F88*125+G88*75</f>
        <v>325</v>
      </c>
      <c r="J88" s="9" t="str">
        <f t="shared" si="1"/>
        <v>Duelo (0-2) Barcos (1-0)</v>
      </c>
      <c r="K88" s="9" t="s">
        <v>11</v>
      </c>
      <c r="L88" s="9">
        <v>1</v>
      </c>
      <c r="M88" s="9" t="str">
        <f>"M_"&amp;I88&amp;"_A_"&amp;H88&amp;"_B_"&amp;SUM(F88:G88)</f>
        <v>M_325_A_3_B_1</v>
      </c>
    </row>
    <row r="89" spans="1:13" x14ac:dyDescent="0.3">
      <c r="A89" s="9">
        <v>87</v>
      </c>
      <c r="B89" s="5">
        <v>0</v>
      </c>
      <c r="C89" s="5">
        <v>2</v>
      </c>
      <c r="D89" s="6">
        <v>0</v>
      </c>
      <c r="E89" s="6">
        <v>0</v>
      </c>
      <c r="F89" s="10">
        <v>1</v>
      </c>
      <c r="G89" s="10">
        <v>0</v>
      </c>
      <c r="H89" s="9">
        <f>SUM(B89:G89)</f>
        <v>3</v>
      </c>
      <c r="I89" s="9">
        <f>B89*200+C89*100+D89*250+E89*100+F89*125+G89*75</f>
        <v>325</v>
      </c>
      <c r="J89" s="9" t="str">
        <f t="shared" si="1"/>
        <v>PvP (0-2) Barcos (1-0)</v>
      </c>
      <c r="K89" s="9" t="s">
        <v>11</v>
      </c>
      <c r="L89" s="9">
        <v>1</v>
      </c>
      <c r="M89" s="9" t="str">
        <f>"M_"&amp;I89&amp;"_A_"&amp;H89&amp;"_B_"&amp;SUM(F89:G89)</f>
        <v>M_325_A_3_B_1</v>
      </c>
    </row>
    <row r="90" spans="1:13" x14ac:dyDescent="0.3">
      <c r="A90" s="9">
        <v>88</v>
      </c>
      <c r="B90" s="5">
        <v>1</v>
      </c>
      <c r="C90" s="5">
        <v>0</v>
      </c>
      <c r="D90" s="6">
        <v>0</v>
      </c>
      <c r="E90" s="6">
        <v>0</v>
      </c>
      <c r="F90" s="10">
        <v>1</v>
      </c>
      <c r="G90" s="10">
        <v>0</v>
      </c>
      <c r="H90" s="9">
        <f>SUM(B90:G90)</f>
        <v>2</v>
      </c>
      <c r="I90" s="9">
        <f>B90*200+C90*100+D90*250+E90*100+F90*125+G90*75</f>
        <v>325</v>
      </c>
      <c r="J90" s="9" t="str">
        <f t="shared" si="1"/>
        <v>PvP (1-0) Barcos (1-0)</v>
      </c>
      <c r="K90" s="9" t="s">
        <v>11</v>
      </c>
      <c r="L90" s="9">
        <v>1</v>
      </c>
      <c r="M90" s="9" t="str">
        <f>"M_"&amp;I90&amp;"_A_"&amp;H90&amp;"_B_"&amp;SUM(F90:G90)</f>
        <v>M_325_A_2_B_1</v>
      </c>
    </row>
    <row r="91" spans="1:13" x14ac:dyDescent="0.3">
      <c r="A91" s="9">
        <v>89</v>
      </c>
      <c r="B91" s="5">
        <v>0</v>
      </c>
      <c r="C91" s="5">
        <v>0</v>
      </c>
      <c r="D91" s="6">
        <v>0</v>
      </c>
      <c r="E91" s="6">
        <v>0</v>
      </c>
      <c r="F91" s="10">
        <v>0</v>
      </c>
      <c r="G91" s="10">
        <v>4</v>
      </c>
      <c r="H91" s="9">
        <f>SUM(B91:G91)</f>
        <v>4</v>
      </c>
      <c r="I91" s="9">
        <f>B91*200+C91*100+D91*250+E91*100+F91*125+G91*75</f>
        <v>300</v>
      </c>
      <c r="J91" s="9" t="str">
        <f t="shared" si="1"/>
        <v>Barcos (0-4)</v>
      </c>
      <c r="K91" s="9" t="s">
        <v>11</v>
      </c>
      <c r="L91" s="9">
        <v>1</v>
      </c>
      <c r="M91" s="9" t="str">
        <f>"M_"&amp;I91&amp;"_A_"&amp;H91&amp;"_B_"&amp;SUM(F91:G91)</f>
        <v>M_300_A_4_B_4</v>
      </c>
    </row>
    <row r="92" spans="1:13" x14ac:dyDescent="0.3">
      <c r="A92" s="9">
        <v>90</v>
      </c>
      <c r="B92" s="5">
        <v>0</v>
      </c>
      <c r="C92" s="5">
        <v>1</v>
      </c>
      <c r="D92" s="6">
        <v>0</v>
      </c>
      <c r="E92" s="6">
        <v>0</v>
      </c>
      <c r="F92" s="10">
        <v>1</v>
      </c>
      <c r="G92" s="10">
        <v>1</v>
      </c>
      <c r="H92" s="9">
        <f>SUM(B92:G92)</f>
        <v>3</v>
      </c>
      <c r="I92" s="9">
        <f>B92*200+C92*100+D92*250+E92*100+F92*125+G92*75</f>
        <v>300</v>
      </c>
      <c r="J92" s="9" t="str">
        <f t="shared" si="1"/>
        <v>PvP (0-1) Barcos (1-1)</v>
      </c>
      <c r="K92" s="9" t="s">
        <v>11</v>
      </c>
      <c r="L92" s="9">
        <v>1</v>
      </c>
      <c r="M92" s="9" t="str">
        <f>"M_"&amp;I92&amp;"_A_"&amp;H92&amp;"_B_"&amp;SUM(F92:G92)</f>
        <v>M_300_A_3_B_2</v>
      </c>
    </row>
    <row r="93" spans="1:13" x14ac:dyDescent="0.3">
      <c r="A93" s="9">
        <v>91</v>
      </c>
      <c r="B93" s="5">
        <v>0</v>
      </c>
      <c r="C93" s="5">
        <v>1</v>
      </c>
      <c r="D93" s="6">
        <v>0</v>
      </c>
      <c r="E93" s="6">
        <v>2</v>
      </c>
      <c r="F93" s="10">
        <v>0</v>
      </c>
      <c r="G93" s="10">
        <v>0</v>
      </c>
      <c r="H93" s="9">
        <f>SUM(B93:G93)</f>
        <v>3</v>
      </c>
      <c r="I93" s="9">
        <f>B93*200+C93*100+D93*250+E93*100+F93*125+G93*75</f>
        <v>300</v>
      </c>
      <c r="J93" s="9" t="str">
        <f t="shared" si="1"/>
        <v xml:space="preserve">PvP (0-1) Duelo (0-2) </v>
      </c>
      <c r="K93" s="9" t="s">
        <v>11</v>
      </c>
      <c r="L93" s="9">
        <v>1</v>
      </c>
      <c r="M93" s="9" t="str">
        <f>"M_"&amp;I93&amp;"_A_"&amp;H93&amp;"_B_"&amp;SUM(F93:G93)</f>
        <v>M_300_A_3_B_0</v>
      </c>
    </row>
    <row r="94" spans="1:13" x14ac:dyDescent="0.3">
      <c r="A94" s="9">
        <v>92</v>
      </c>
      <c r="B94" s="5">
        <v>0</v>
      </c>
      <c r="C94" s="5">
        <v>3</v>
      </c>
      <c r="D94" s="6">
        <v>0</v>
      </c>
      <c r="E94" s="6">
        <v>0</v>
      </c>
      <c r="F94" s="10">
        <v>0</v>
      </c>
      <c r="G94" s="10">
        <v>0</v>
      </c>
      <c r="H94" s="9">
        <f>SUM(B94:G94)</f>
        <v>3</v>
      </c>
      <c r="I94" s="9">
        <f>B94*200+C94*100+D94*250+E94*100+F94*125+G94*75</f>
        <v>300</v>
      </c>
      <c r="J94" s="9" t="str">
        <f t="shared" si="1"/>
        <v xml:space="preserve">PvP (0-3) </v>
      </c>
      <c r="K94" s="9" t="s">
        <v>11</v>
      </c>
      <c r="L94" s="9">
        <v>1</v>
      </c>
      <c r="M94" s="9" t="str">
        <f>"M_"&amp;I94&amp;"_A_"&amp;H94&amp;"_B_"&amp;SUM(F94:G94)</f>
        <v>M_300_A_3_B_0</v>
      </c>
    </row>
    <row r="95" spans="1:13" x14ac:dyDescent="0.3">
      <c r="A95" s="9">
        <v>93</v>
      </c>
      <c r="B95" s="5">
        <v>1</v>
      </c>
      <c r="C95" s="5">
        <v>1</v>
      </c>
      <c r="D95" s="6">
        <v>0</v>
      </c>
      <c r="E95" s="6">
        <v>0</v>
      </c>
      <c r="F95" s="10">
        <v>0</v>
      </c>
      <c r="G95" s="10">
        <v>0</v>
      </c>
      <c r="H95" s="9">
        <f>SUM(B95:G95)</f>
        <v>2</v>
      </c>
      <c r="I95" s="9">
        <f>B95*200+C95*100+D95*250+E95*100+F95*125+G95*75</f>
        <v>300</v>
      </c>
      <c r="J95" s="9" t="str">
        <f t="shared" si="1"/>
        <v xml:space="preserve">PvP (1-1) </v>
      </c>
      <c r="K95" s="9" t="s">
        <v>11</v>
      </c>
      <c r="L95" s="9">
        <v>1</v>
      </c>
      <c r="M95" s="9" t="str">
        <f>"M_"&amp;I95&amp;"_A_"&amp;H95&amp;"_B_"&amp;SUM(F95:G95)</f>
        <v>M_300_A_2_B_0</v>
      </c>
    </row>
    <row r="96" spans="1:13" x14ac:dyDescent="0.3">
      <c r="A96" s="9">
        <v>94</v>
      </c>
      <c r="B96" s="5">
        <v>0</v>
      </c>
      <c r="C96" s="5">
        <v>0</v>
      </c>
      <c r="D96" s="6">
        <v>0</v>
      </c>
      <c r="E96" s="6">
        <v>0</v>
      </c>
      <c r="F96" s="10">
        <v>1</v>
      </c>
      <c r="G96" s="10">
        <v>2</v>
      </c>
      <c r="H96" s="9">
        <f>SUM(B96:G96)</f>
        <v>3</v>
      </c>
      <c r="I96" s="9">
        <f>B96*200+C96*100+D96*250+E96*100+F96*125+G96*75</f>
        <v>275</v>
      </c>
      <c r="J96" s="9" t="str">
        <f t="shared" si="1"/>
        <v>Barcos (1-2)</v>
      </c>
      <c r="K96" s="9" t="s">
        <v>11</v>
      </c>
      <c r="L96" s="9">
        <v>1</v>
      </c>
      <c r="M96" s="9" t="str">
        <f>"M_"&amp;I96&amp;"_A_"&amp;H96&amp;"_B_"&amp;SUM(F96:G96)</f>
        <v>M_275_A_3_B_3</v>
      </c>
    </row>
    <row r="97" spans="1:13" x14ac:dyDescent="0.3">
      <c r="A97" s="9">
        <v>95</v>
      </c>
      <c r="B97" s="5">
        <v>0</v>
      </c>
      <c r="C97" s="5">
        <v>0</v>
      </c>
      <c r="D97" s="6">
        <v>0</v>
      </c>
      <c r="E97" s="6">
        <v>2</v>
      </c>
      <c r="F97" s="10">
        <v>0</v>
      </c>
      <c r="G97" s="10">
        <v>1</v>
      </c>
      <c r="H97" s="9">
        <f>SUM(B97:G97)</f>
        <v>3</v>
      </c>
      <c r="I97" s="9">
        <f>B97*200+C97*100+D97*250+E97*100+F97*125+G97*75</f>
        <v>275</v>
      </c>
      <c r="J97" s="9" t="str">
        <f t="shared" si="1"/>
        <v>Duelo (0-2) Barcos (0-1)</v>
      </c>
      <c r="K97" s="9" t="s">
        <v>11</v>
      </c>
      <c r="L97" s="9">
        <v>1</v>
      </c>
      <c r="M97" s="9" t="str">
        <f>"M_"&amp;I97&amp;"_A_"&amp;H97&amp;"_B_"&amp;SUM(F97:G97)</f>
        <v>M_275_A_3_B_1</v>
      </c>
    </row>
    <row r="98" spans="1:13" x14ac:dyDescent="0.3">
      <c r="A98" s="9">
        <v>96</v>
      </c>
      <c r="B98" s="5">
        <v>0</v>
      </c>
      <c r="C98" s="5">
        <v>2</v>
      </c>
      <c r="D98" s="6">
        <v>0</v>
      </c>
      <c r="E98" s="6">
        <v>0</v>
      </c>
      <c r="F98" s="10">
        <v>0</v>
      </c>
      <c r="G98" s="10">
        <v>1</v>
      </c>
      <c r="H98" s="9">
        <f>SUM(B98:G98)</f>
        <v>3</v>
      </c>
      <c r="I98" s="9">
        <f>B98*200+C98*100+D98*250+E98*100+F98*125+G98*75</f>
        <v>275</v>
      </c>
      <c r="J98" s="9" t="str">
        <f t="shared" si="1"/>
        <v>PvP (0-2) Barcos (0-1)</v>
      </c>
      <c r="K98" s="9" t="s">
        <v>11</v>
      </c>
      <c r="L98" s="9">
        <v>1</v>
      </c>
      <c r="M98" s="9" t="str">
        <f>"M_"&amp;I98&amp;"_A_"&amp;H98&amp;"_B_"&amp;SUM(F98:G98)</f>
        <v>M_275_A_3_B_1</v>
      </c>
    </row>
    <row r="99" spans="1:13" x14ac:dyDescent="0.3">
      <c r="A99" s="9">
        <v>97</v>
      </c>
      <c r="B99" s="5">
        <v>1</v>
      </c>
      <c r="C99" s="5">
        <v>0</v>
      </c>
      <c r="D99" s="6">
        <v>0</v>
      </c>
      <c r="E99" s="6">
        <v>0</v>
      </c>
      <c r="F99" s="10">
        <v>0</v>
      </c>
      <c r="G99" s="10">
        <v>1</v>
      </c>
      <c r="H99" s="9">
        <f>SUM(B99:G99)</f>
        <v>2</v>
      </c>
      <c r="I99" s="9">
        <f>B99*200+C99*100+D99*250+E99*100+F99*125+G99*75</f>
        <v>275</v>
      </c>
      <c r="J99" s="9" t="str">
        <f t="shared" si="1"/>
        <v>PvP (1-0) Barcos (0-1)</v>
      </c>
      <c r="K99" s="9" t="s">
        <v>11</v>
      </c>
      <c r="L99" s="9">
        <v>1</v>
      </c>
      <c r="M99" s="9" t="str">
        <f>"M_"&amp;I99&amp;"_A_"&amp;H99&amp;"_B_"&amp;SUM(F99:G99)</f>
        <v>M_275_A_2_B_1</v>
      </c>
    </row>
    <row r="100" spans="1:13" x14ac:dyDescent="0.3">
      <c r="A100" s="9">
        <v>98</v>
      </c>
      <c r="B100" s="5">
        <v>0</v>
      </c>
      <c r="C100" s="5">
        <v>1</v>
      </c>
      <c r="D100" s="6">
        <v>0</v>
      </c>
      <c r="E100" s="6">
        <v>0</v>
      </c>
      <c r="F100" s="10">
        <v>0</v>
      </c>
      <c r="G100" s="10">
        <v>2</v>
      </c>
      <c r="H100" s="9">
        <f>SUM(B100:G100)</f>
        <v>3</v>
      </c>
      <c r="I100" s="9">
        <f>B100*200+C100*100+D100*250+E100*100+F100*125+G100*75</f>
        <v>250</v>
      </c>
      <c r="J100" s="9" t="str">
        <f t="shared" si="1"/>
        <v>PvP (0-1) Barcos (0-2)</v>
      </c>
      <c r="K100" s="9" t="s">
        <v>11</v>
      </c>
      <c r="L100" s="9">
        <v>1</v>
      </c>
      <c r="M100" s="9" t="str">
        <f>"M_"&amp;I100&amp;"_A_"&amp;H100&amp;"_B_"&amp;SUM(F100:G100)</f>
        <v>M_250_A_3_B_2</v>
      </c>
    </row>
    <row r="101" spans="1:13" x14ac:dyDescent="0.3">
      <c r="A101" s="9">
        <v>99</v>
      </c>
      <c r="B101" s="5">
        <v>0</v>
      </c>
      <c r="C101" s="5">
        <v>0</v>
      </c>
      <c r="D101" s="6">
        <v>0</v>
      </c>
      <c r="E101" s="6">
        <v>0</v>
      </c>
      <c r="F101" s="10">
        <v>2</v>
      </c>
      <c r="G101" s="10">
        <v>0</v>
      </c>
      <c r="H101" s="9">
        <f>SUM(B101:G101)</f>
        <v>2</v>
      </c>
      <c r="I101" s="9">
        <f>B101*200+C101*100+D101*250+E101*100+F101*125+G101*75</f>
        <v>250</v>
      </c>
      <c r="J101" s="9" t="str">
        <f t="shared" si="1"/>
        <v>Barcos (2-0)</v>
      </c>
      <c r="K101" s="9" t="s">
        <v>11</v>
      </c>
      <c r="L101" s="9">
        <v>1</v>
      </c>
      <c r="M101" s="9" t="str">
        <f>"M_"&amp;I101&amp;"_A_"&amp;H101&amp;"_B_"&amp;SUM(F101:G101)</f>
        <v>M_250_A_2_B_2</v>
      </c>
    </row>
    <row r="102" spans="1:13" x14ac:dyDescent="0.3">
      <c r="A102" s="9">
        <v>100</v>
      </c>
      <c r="B102" s="5">
        <v>0</v>
      </c>
      <c r="C102" s="5">
        <v>0</v>
      </c>
      <c r="D102" s="6">
        <v>0</v>
      </c>
      <c r="E102" s="6">
        <v>0</v>
      </c>
      <c r="F102" s="10">
        <v>0</v>
      </c>
      <c r="G102" s="10">
        <v>3</v>
      </c>
      <c r="H102" s="9">
        <f>SUM(B102:G102)</f>
        <v>3</v>
      </c>
      <c r="I102" s="9">
        <f>B102*200+C102*100+D102*250+E102*100+F102*125+G102*75</f>
        <v>225</v>
      </c>
      <c r="J102" s="9" t="str">
        <f t="shared" si="1"/>
        <v>Barcos (0-3)</v>
      </c>
      <c r="K102" s="9" t="s">
        <v>11</v>
      </c>
      <c r="L102" s="9">
        <v>1</v>
      </c>
      <c r="M102" s="9" t="str">
        <f>"M_"&amp;I102&amp;"_A_"&amp;H102&amp;"_B_"&amp;SUM(F102:G102)</f>
        <v>M_225_A_3_B_3</v>
      </c>
    </row>
    <row r="103" spans="1:13" x14ac:dyDescent="0.3">
      <c r="A103" s="9">
        <v>101</v>
      </c>
      <c r="B103" s="5">
        <v>0</v>
      </c>
      <c r="C103" s="5">
        <v>1</v>
      </c>
      <c r="D103" s="6">
        <v>0</v>
      </c>
      <c r="E103" s="6">
        <v>0</v>
      </c>
      <c r="F103" s="10">
        <v>1</v>
      </c>
      <c r="G103" s="10">
        <v>0</v>
      </c>
      <c r="H103" s="9">
        <f>SUM(B103:G103)</f>
        <v>2</v>
      </c>
      <c r="I103" s="9">
        <f>B103*200+C103*100+D103*250+E103*100+F103*125+G103*75</f>
        <v>225</v>
      </c>
      <c r="J103" s="9" t="str">
        <f t="shared" si="1"/>
        <v>PvP (0-1) Barcos (1-0)</v>
      </c>
      <c r="K103" s="9" t="s">
        <v>11</v>
      </c>
      <c r="L103" s="9">
        <v>1</v>
      </c>
      <c r="M103" s="9" t="str">
        <f>"M_"&amp;I103&amp;"_A_"&amp;H103&amp;"_B_"&amp;SUM(F103:G103)</f>
        <v>M_225_A_2_B_1</v>
      </c>
    </row>
    <row r="104" spans="1:13" x14ac:dyDescent="0.3">
      <c r="A104" s="9">
        <v>102</v>
      </c>
      <c r="B104" s="5">
        <v>0</v>
      </c>
      <c r="C104" s="5">
        <v>0</v>
      </c>
      <c r="D104" s="6">
        <v>0</v>
      </c>
      <c r="E104" s="6">
        <v>0</v>
      </c>
      <c r="F104" s="10">
        <v>1</v>
      </c>
      <c r="G104" s="10">
        <v>1</v>
      </c>
      <c r="H104" s="9">
        <f>SUM(B104:G104)</f>
        <v>2</v>
      </c>
      <c r="I104" s="9">
        <f>B104*200+C104*100+D104*250+E104*100+F104*125+G104*75</f>
        <v>200</v>
      </c>
      <c r="J104" s="9" t="str">
        <f t="shared" si="1"/>
        <v>Barcos (1-1)</v>
      </c>
      <c r="K104" s="9" t="s">
        <v>11</v>
      </c>
      <c r="L104" s="9">
        <v>1</v>
      </c>
      <c r="M104" s="9" t="str">
        <f>"M_"&amp;I104&amp;"_A_"&amp;H104&amp;"_B_"&amp;SUM(F104:G104)</f>
        <v>M_200_A_2_B_2</v>
      </c>
    </row>
    <row r="105" spans="1:13" x14ac:dyDescent="0.3">
      <c r="A105" s="9">
        <v>103</v>
      </c>
      <c r="B105" s="5">
        <v>0</v>
      </c>
      <c r="C105" s="5">
        <v>0</v>
      </c>
      <c r="D105" s="6">
        <v>0</v>
      </c>
      <c r="E105" s="6">
        <v>2</v>
      </c>
      <c r="F105" s="10">
        <v>0</v>
      </c>
      <c r="G105" s="10">
        <v>0</v>
      </c>
      <c r="H105" s="9">
        <f>SUM(B105:G105)</f>
        <v>2</v>
      </c>
      <c r="I105" s="9">
        <f>B105*200+C105*100+D105*250+E105*100+F105*125+G105*75</f>
        <v>200</v>
      </c>
      <c r="J105" s="9" t="str">
        <f t="shared" si="1"/>
        <v xml:space="preserve">Duelo (0-2) </v>
      </c>
      <c r="K105" s="9" t="s">
        <v>11</v>
      </c>
      <c r="L105" s="9">
        <v>1</v>
      </c>
      <c r="M105" s="9" t="str">
        <f>"M_"&amp;I105&amp;"_A_"&amp;H105&amp;"_B_"&amp;SUM(F105:G105)</f>
        <v>M_200_A_2_B_0</v>
      </c>
    </row>
    <row r="106" spans="1:13" x14ac:dyDescent="0.3">
      <c r="A106" s="9">
        <v>104</v>
      </c>
      <c r="B106" s="5">
        <v>0</v>
      </c>
      <c r="C106" s="5">
        <v>2</v>
      </c>
      <c r="D106" s="6">
        <v>0</v>
      </c>
      <c r="E106" s="6">
        <v>0</v>
      </c>
      <c r="F106" s="10">
        <v>0</v>
      </c>
      <c r="G106" s="10">
        <v>0</v>
      </c>
      <c r="H106" s="9">
        <f>SUM(B106:G106)</f>
        <v>2</v>
      </c>
      <c r="I106" s="9">
        <f>B106*200+C106*100+D106*250+E106*100+F106*125+G106*75</f>
        <v>200</v>
      </c>
      <c r="J106" s="9" t="str">
        <f t="shared" si="1"/>
        <v xml:space="preserve">PvP (0-2) </v>
      </c>
      <c r="K106" s="9" t="s">
        <v>11</v>
      </c>
      <c r="L106" s="9">
        <v>1</v>
      </c>
      <c r="M106" s="9" t="str">
        <f>"M_"&amp;I106&amp;"_A_"&amp;H106&amp;"_B_"&amp;SUM(F106:G106)</f>
        <v>M_200_A_2_B_0</v>
      </c>
    </row>
    <row r="107" spans="1:13" x14ac:dyDescent="0.3">
      <c r="A107" s="9">
        <v>105</v>
      </c>
      <c r="B107" s="5">
        <v>1</v>
      </c>
      <c r="C107" s="5">
        <v>0</v>
      </c>
      <c r="D107" s="6">
        <v>0</v>
      </c>
      <c r="E107" s="6">
        <v>0</v>
      </c>
      <c r="F107" s="10">
        <v>0</v>
      </c>
      <c r="G107" s="10">
        <v>0</v>
      </c>
      <c r="H107" s="9">
        <f>SUM(B107:G107)</f>
        <v>1</v>
      </c>
      <c r="I107" s="9">
        <f>B107*200+C107*100+D107*250+E107*100+F107*125+G107*75</f>
        <v>200</v>
      </c>
      <c r="J107" s="9" t="str">
        <f t="shared" si="1"/>
        <v xml:space="preserve">PvP (1-0) </v>
      </c>
      <c r="K107" s="9" t="s">
        <v>11</v>
      </c>
      <c r="L107" s="9">
        <v>1</v>
      </c>
      <c r="M107" s="9" t="str">
        <f>"M_"&amp;I107&amp;"_A_"&amp;H107&amp;"_B_"&amp;SUM(F107:G107)</f>
        <v>M_200_A_1_B_0</v>
      </c>
    </row>
    <row r="108" spans="1:13" x14ac:dyDescent="0.3">
      <c r="A108" s="9">
        <v>106</v>
      </c>
      <c r="B108" s="5">
        <v>0</v>
      </c>
      <c r="C108" s="5">
        <v>1</v>
      </c>
      <c r="D108" s="6">
        <v>0</v>
      </c>
      <c r="E108" s="6">
        <v>0</v>
      </c>
      <c r="F108" s="10">
        <v>0</v>
      </c>
      <c r="G108" s="10">
        <v>1</v>
      </c>
      <c r="H108" s="9">
        <f>SUM(B108:G108)</f>
        <v>2</v>
      </c>
      <c r="I108" s="9">
        <f>B108*200+C108*100+D108*250+E108*100+F108*125+G108*75</f>
        <v>175</v>
      </c>
      <c r="J108" s="9" t="str">
        <f t="shared" si="1"/>
        <v>PvP (0-1) Barcos (0-1)</v>
      </c>
      <c r="K108" s="9" t="s">
        <v>11</v>
      </c>
      <c r="L108" s="9">
        <v>1</v>
      </c>
      <c r="M108" s="9" t="str">
        <f>"M_"&amp;I108&amp;"_A_"&amp;H108&amp;"_B_"&amp;SUM(F108:G108)</f>
        <v>M_175_A_2_B_1</v>
      </c>
    </row>
    <row r="109" spans="1:13" x14ac:dyDescent="0.3">
      <c r="A109" s="9">
        <v>107</v>
      </c>
      <c r="B109" s="5">
        <v>0</v>
      </c>
      <c r="C109" s="5">
        <v>0</v>
      </c>
      <c r="D109" s="6">
        <v>0</v>
      </c>
      <c r="E109" s="6">
        <v>0</v>
      </c>
      <c r="F109" s="10">
        <v>0</v>
      </c>
      <c r="G109" s="10">
        <v>2</v>
      </c>
      <c r="H109" s="9">
        <f>SUM(B109:G109)</f>
        <v>2</v>
      </c>
      <c r="I109" s="9">
        <f>B109*200+C109*100+D109*250+E109*100+F109*125+G109*75</f>
        <v>150</v>
      </c>
      <c r="J109" s="9" t="str">
        <f t="shared" si="1"/>
        <v>Barcos (0-2)</v>
      </c>
      <c r="K109" s="9" t="s">
        <v>11</v>
      </c>
      <c r="L109" s="9">
        <v>1</v>
      </c>
      <c r="M109" s="9" t="str">
        <f>"M_"&amp;I109&amp;"_A_"&amp;H109&amp;"_B_"&amp;SUM(F109:G109)</f>
        <v>M_150_A_2_B_2</v>
      </c>
    </row>
    <row r="110" spans="1:13" x14ac:dyDescent="0.3">
      <c r="A110" s="9">
        <v>108</v>
      </c>
      <c r="B110" s="5">
        <v>0</v>
      </c>
      <c r="C110" s="5">
        <v>0</v>
      </c>
      <c r="D110" s="6">
        <v>0</v>
      </c>
      <c r="E110" s="6">
        <v>0</v>
      </c>
      <c r="F110" s="10">
        <v>1</v>
      </c>
      <c r="G110" s="10">
        <v>0</v>
      </c>
      <c r="H110" s="9">
        <f>SUM(B110:G110)</f>
        <v>1</v>
      </c>
      <c r="I110" s="9">
        <f>B110*200+C110*100+D110*250+E110*100+F110*125+G110*75</f>
        <v>125</v>
      </c>
      <c r="J110" s="9" t="str">
        <f t="shared" si="1"/>
        <v>Barcos (1-0)</v>
      </c>
      <c r="K110" s="9" t="s">
        <v>11</v>
      </c>
      <c r="L110" s="9">
        <v>1</v>
      </c>
      <c r="M110" s="9" t="str">
        <f>"M_"&amp;I110&amp;"_A_"&amp;H110&amp;"_B_"&amp;SUM(F110:G110)</f>
        <v>M_125_A_1_B_1</v>
      </c>
    </row>
    <row r="111" spans="1:13" x14ac:dyDescent="0.3">
      <c r="A111" s="9">
        <v>109</v>
      </c>
      <c r="B111" s="5">
        <v>0</v>
      </c>
      <c r="C111" s="5">
        <v>1</v>
      </c>
      <c r="D111" s="6">
        <v>0</v>
      </c>
      <c r="E111" s="6">
        <v>0</v>
      </c>
      <c r="F111" s="10">
        <v>0</v>
      </c>
      <c r="G111" s="10">
        <v>0</v>
      </c>
      <c r="H111" s="9">
        <f>SUM(B111:G111)</f>
        <v>1</v>
      </c>
      <c r="I111" s="9">
        <f>B111*200+C111*100+D111*250+E111*100+F111*125+G111*75</f>
        <v>100</v>
      </c>
      <c r="J111" s="9" t="str">
        <f t="shared" si="1"/>
        <v xml:space="preserve">PvP (0-1) </v>
      </c>
      <c r="K111" s="9" t="s">
        <v>11</v>
      </c>
      <c r="L111" s="9">
        <v>1</v>
      </c>
      <c r="M111" s="9" t="str">
        <f>"M_"&amp;I111&amp;"_A_"&amp;H111&amp;"_B_"&amp;SUM(F111:G111)</f>
        <v>M_100_A_1_B_0</v>
      </c>
    </row>
    <row r="112" spans="1:13" x14ac:dyDescent="0.3">
      <c r="A112" s="9">
        <v>110</v>
      </c>
      <c r="B112" s="5">
        <v>0</v>
      </c>
      <c r="C112" s="5">
        <v>0</v>
      </c>
      <c r="D112" s="6">
        <v>0</v>
      </c>
      <c r="E112" s="6">
        <v>0</v>
      </c>
      <c r="F112" s="10">
        <v>0</v>
      </c>
      <c r="G112" s="10">
        <v>0</v>
      </c>
      <c r="H112" s="9">
        <f>SUM(B112:G112)</f>
        <v>0</v>
      </c>
      <c r="I112" s="9">
        <f>B112*200+C112*100+D112*250+E112*100+F112*125+G112*75</f>
        <v>0</v>
      </c>
      <c r="J112" s="9" t="str">
        <f t="shared" si="1"/>
        <v>Sin ataques</v>
      </c>
      <c r="K112" s="9" t="s">
        <v>11</v>
      </c>
      <c r="L112" s="9">
        <v>1</v>
      </c>
      <c r="M112" s="9" t="str">
        <f>"M_"&amp;I112&amp;"_A_"&amp;H112&amp;"_B_"&amp;SUM(F112:G112)</f>
        <v>M_0_A_0_B_0</v>
      </c>
    </row>
  </sheetData>
  <sortState xmlns:xlrd2="http://schemas.microsoft.com/office/spreadsheetml/2017/richdata2" ref="A3:M112">
    <sortCondition descending="1" ref="M3:M112"/>
    <sortCondition descending="1" ref="I3:I112"/>
    <sortCondition descending="1" ref="H3:H112"/>
    <sortCondition descending="1" ref="D3:D112"/>
    <sortCondition descending="1" ref="E3:E112"/>
    <sortCondition descending="1" ref="B3:B112"/>
    <sortCondition descending="1" ref="C3:C112"/>
    <sortCondition descending="1" ref="F3:F112"/>
    <sortCondition descending="1" ref="G3:G112"/>
  </sortState>
  <mergeCells count="10">
    <mergeCell ref="M1:M2"/>
    <mergeCell ref="L1:L2"/>
    <mergeCell ref="J1:J2"/>
    <mergeCell ref="K1:K2"/>
    <mergeCell ref="A1:A2"/>
    <mergeCell ref="B1:C1"/>
    <mergeCell ref="D1:E1"/>
    <mergeCell ref="F1:G1"/>
    <mergeCell ref="H1:H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8669-F08C-4986-84FB-A4B0C9EC4E47}">
  <dimension ref="A1:K78"/>
  <sheetViews>
    <sheetView workbookViewId="0">
      <selection activeCell="M16" sqref="M16"/>
    </sheetView>
  </sheetViews>
  <sheetFormatPr baseColWidth="10" defaultRowHeight="14.4" x14ac:dyDescent="0.3"/>
  <cols>
    <col min="1" max="1" width="3.21875" style="1" bestFit="1" customWidth="1"/>
    <col min="2" max="2" width="11.33203125" style="1" bestFit="1" customWidth="1"/>
    <col min="3" max="3" width="8" style="1" bestFit="1" customWidth="1"/>
    <col min="4" max="4" width="6.77734375" style="1" bestFit="1" customWidth="1"/>
    <col min="5" max="5" width="73" style="1" bestFit="1" customWidth="1"/>
    <col min="6" max="6" width="7.77734375" style="1" bestFit="1" customWidth="1"/>
    <col min="7" max="7" width="9.109375" style="1" bestFit="1" customWidth="1"/>
    <col min="8" max="8" width="13.77734375" style="1" bestFit="1" customWidth="1"/>
    <col min="9" max="9" width="11.5546875" style="1"/>
    <col min="10" max="10" width="4" style="1" bestFit="1" customWidth="1"/>
    <col min="11" max="11" width="11.109375" style="1" bestFit="1" customWidth="1"/>
    <col min="12" max="16384" width="11.5546875" style="1"/>
  </cols>
  <sheetData>
    <row r="1" spans="1:11" x14ac:dyDescent="0.3">
      <c r="A1" s="4" t="s">
        <v>0</v>
      </c>
      <c r="B1" s="4" t="s">
        <v>3</v>
      </c>
      <c r="C1" s="11" t="s">
        <v>1</v>
      </c>
      <c r="D1" s="11" t="s">
        <v>2</v>
      </c>
      <c r="E1" s="4" t="s">
        <v>7</v>
      </c>
      <c r="F1" s="4" t="s">
        <v>8</v>
      </c>
      <c r="G1" s="4" t="s">
        <v>6</v>
      </c>
      <c r="H1" s="4" t="s">
        <v>12</v>
      </c>
    </row>
    <row r="2" spans="1:11" x14ac:dyDescent="0.3">
      <c r="A2" s="2">
        <v>1</v>
      </c>
      <c r="B2" s="2" t="str">
        <f>MID(H2,3,LEN(H2)-10)</f>
        <v>900</v>
      </c>
      <c r="C2" s="2" t="str">
        <f>MID(H2,LEN(H2)-4,1)</f>
        <v>4</v>
      </c>
      <c r="D2" s="2" t="str">
        <f>RIGHT(H2,1)</f>
        <v>0</v>
      </c>
      <c r="E2" s="2" t="str" cm="1">
        <f t="array" ref="E2">_xlfn.TEXTJOIN(" | ", TRUE, _xlfn._xlws.FILTER(Diario_D!$J$2:$J$1000, Diario_D!$M$2:$M$1000=H2, ""))</f>
        <v xml:space="preserve">PvP (2-0) Duelo (2-0) </v>
      </c>
      <c r="F2" s="2" t="s">
        <v>11</v>
      </c>
      <c r="G2" s="2">
        <f>COUNTIF(Diario_D!$M$3:$M$112,H2)</f>
        <v>1</v>
      </c>
      <c r="H2" s="2" t="str" cm="1">
        <f t="array" ref="H2:H78">_xlfn.UNIQUE(Diario_D!M3:M112)</f>
        <v>M_900_A_4_B_0</v>
      </c>
      <c r="K2" s="12"/>
    </row>
    <row r="3" spans="1:11" x14ac:dyDescent="0.3">
      <c r="A3" s="2">
        <v>2</v>
      </c>
      <c r="B3" s="2" t="str">
        <f>MID(H3,3,LEN(H3)-10)</f>
        <v>825</v>
      </c>
      <c r="C3" s="2" t="str">
        <f t="shared" ref="C3:C66" si="0">MID(H3,LEN(H3)-4,1)</f>
        <v>4</v>
      </c>
      <c r="D3" s="2" t="str">
        <f t="shared" ref="D3:D66" si="1">RIGHT(H3,1)</f>
        <v>1</v>
      </c>
      <c r="E3" s="2" t="str" cm="1">
        <f t="array" ref="E3">_xlfn.TEXTJOIN(" | ", TRUE, _xlfn._xlws.FILTER(Diario_D!$J$2:$J$1000, Diario_D!$M$2:$M$1000=H3, ""))</f>
        <v>PvP (1-0) Duelo (2-0) Barcos (1-0)</v>
      </c>
      <c r="F3" s="2" t="s">
        <v>11</v>
      </c>
      <c r="G3" s="2">
        <f>COUNTIF(Diario_D!$M$3:$M$112,H3)</f>
        <v>1</v>
      </c>
      <c r="H3" s="2" t="str">
        <v>M_825_A_4_B_1</v>
      </c>
      <c r="K3" s="12"/>
    </row>
    <row r="4" spans="1:11" x14ac:dyDescent="0.3">
      <c r="A4" s="2">
        <v>3</v>
      </c>
      <c r="B4" s="2" t="str">
        <f>MID(H4,3,LEN(H4)-10)</f>
        <v>800</v>
      </c>
      <c r="C4" s="2" t="str">
        <f t="shared" si="0"/>
        <v>4</v>
      </c>
      <c r="D4" s="2" t="str">
        <f t="shared" si="1"/>
        <v>0</v>
      </c>
      <c r="E4" s="2" t="str" cm="1">
        <f t="array" ref="E4">_xlfn.TEXTJOIN(" | ", TRUE, _xlfn._xlws.FILTER(Diario_D!$J$2:$J$1000, Diario_D!$M$2:$M$1000=H4, ""))</f>
        <v xml:space="preserve">PvP (1-0) Duelo (2-1)  | PvP (1-1) Duelo (2-0)  | PvP (4-0) </v>
      </c>
      <c r="F4" s="2" t="s">
        <v>11</v>
      </c>
      <c r="G4" s="2">
        <f>COUNTIF(Diario_D!$M$3:$M$112,H4)</f>
        <v>3</v>
      </c>
      <c r="H4" s="2" t="str">
        <v>M_800_A_4_B_0</v>
      </c>
    </row>
    <row r="5" spans="1:11" x14ac:dyDescent="0.3">
      <c r="A5" s="2">
        <v>4</v>
      </c>
      <c r="B5" s="2" t="str">
        <f>MID(H5,3,LEN(H5)-10)</f>
        <v>775</v>
      </c>
      <c r="C5" s="2" t="str">
        <f t="shared" si="0"/>
        <v>4</v>
      </c>
      <c r="D5" s="2" t="str">
        <f t="shared" si="1"/>
        <v>1</v>
      </c>
      <c r="E5" s="2" t="str" cm="1">
        <f t="array" ref="E5">_xlfn.TEXTJOIN(" | ", TRUE, _xlfn._xlws.FILTER(Diario_D!$J$2:$J$1000, Diario_D!$M$2:$M$1000=H5, ""))</f>
        <v>PvP (1-0) Duelo (2-0) Barcos (0-1)</v>
      </c>
      <c r="F5" s="2" t="s">
        <v>11</v>
      </c>
      <c r="G5" s="2">
        <f>COUNTIF(Diario_D!$M$3:$M$112,H5)</f>
        <v>1</v>
      </c>
      <c r="H5" s="2" t="str">
        <v>M_775_A_4_B_1</v>
      </c>
    </row>
    <row r="6" spans="1:11" x14ac:dyDescent="0.3">
      <c r="A6" s="2">
        <v>5</v>
      </c>
      <c r="B6" s="2" t="str">
        <f>MID(H6,3,LEN(H6)-10)</f>
        <v>750</v>
      </c>
      <c r="C6" s="2" t="str">
        <f t="shared" si="0"/>
        <v>4</v>
      </c>
      <c r="D6" s="2" t="str">
        <f t="shared" si="1"/>
        <v>2</v>
      </c>
      <c r="E6" s="2" t="str" cm="1">
        <f t="array" ref="E6">_xlfn.TEXTJOIN(" | ", TRUE, _xlfn._xlws.FILTER(Diario_D!$J$2:$J$1000, Diario_D!$M$2:$M$1000=H6, ""))</f>
        <v>Duelo (2-0) Barcos (2-0)</v>
      </c>
      <c r="F6" s="2" t="s">
        <v>11</v>
      </c>
      <c r="G6" s="2">
        <f>COUNTIF(Diario_D!$M$3:$M$112,H6)</f>
        <v>1</v>
      </c>
      <c r="H6" s="2" t="str">
        <v>M_750_A_4_B_2</v>
      </c>
    </row>
    <row r="7" spans="1:11" x14ac:dyDescent="0.3">
      <c r="A7" s="2">
        <v>6</v>
      </c>
      <c r="B7" s="2" t="str">
        <f>MID(H7,3,LEN(H7)-10)</f>
        <v>75</v>
      </c>
      <c r="C7" s="2" t="str">
        <f t="shared" si="0"/>
        <v>1</v>
      </c>
      <c r="D7" s="2" t="str">
        <f t="shared" si="1"/>
        <v>1</v>
      </c>
      <c r="E7" s="2" t="str" cm="1">
        <f t="array" ref="E7">_xlfn.TEXTJOIN(" | ", TRUE, _xlfn._xlws.FILTER(Diario_D!$J$2:$J$1000, Diario_D!$M$2:$M$1000=H7, ""))</f>
        <v>Barcos (0-1)</v>
      </c>
      <c r="F7" s="2" t="s">
        <v>11</v>
      </c>
      <c r="G7" s="2">
        <f>COUNTIF(Diario_D!$M$3:$M$112,H7)</f>
        <v>1</v>
      </c>
      <c r="H7" s="2" t="str">
        <v>M_75_A_1_B_1</v>
      </c>
    </row>
    <row r="8" spans="1:11" x14ac:dyDescent="0.3">
      <c r="A8" s="2">
        <v>7</v>
      </c>
      <c r="B8" s="2" t="str">
        <f>MID(H8,3,LEN(H8)-10)</f>
        <v>725</v>
      </c>
      <c r="C8" s="2" t="str">
        <f t="shared" si="0"/>
        <v>4</v>
      </c>
      <c r="D8" s="2" t="str">
        <f t="shared" si="1"/>
        <v>1</v>
      </c>
      <c r="E8" s="2" t="str" cm="1">
        <f t="array" ref="E8">_xlfn.TEXTJOIN(" | ", TRUE, _xlfn._xlws.FILTER(Diario_D!$J$2:$J$1000, Diario_D!$M$2:$M$1000=H8, ""))</f>
        <v>Duelo (2-1) Barcos (1-0) | PvP (0-1) Duelo (2-0) Barcos (1-0) | PvP (3-0) Barcos (1-0)</v>
      </c>
      <c r="F8" s="2" t="s">
        <v>11</v>
      </c>
      <c r="G8" s="2">
        <f>COUNTIF(Diario_D!$M$3:$M$112,H8)</f>
        <v>3</v>
      </c>
      <c r="H8" s="2" t="str">
        <v>M_725_A_4_B_1</v>
      </c>
    </row>
    <row r="9" spans="1:11" x14ac:dyDescent="0.3">
      <c r="A9" s="2">
        <v>8</v>
      </c>
      <c r="B9" s="2" t="str">
        <f>MID(H9,3,LEN(H9)-10)</f>
        <v>700</v>
      </c>
      <c r="C9" s="2" t="str">
        <f t="shared" si="0"/>
        <v>4</v>
      </c>
      <c r="D9" s="2" t="str">
        <f t="shared" si="1"/>
        <v>2</v>
      </c>
      <c r="E9" s="2" t="str" cm="1">
        <f t="array" ref="E9">_xlfn.TEXTJOIN(" | ", TRUE, _xlfn._xlws.FILTER(Diario_D!$J$2:$J$1000, Diario_D!$M$2:$M$1000=H9, ""))</f>
        <v>Duelo (2-0) Barcos (1-1)</v>
      </c>
      <c r="F9" s="2" t="s">
        <v>11</v>
      </c>
      <c r="G9" s="2">
        <f>COUNTIF(Diario_D!$M$3:$M$112,H9)</f>
        <v>1</v>
      </c>
      <c r="H9" s="2" t="str">
        <v>M_700_A_4_B_2</v>
      </c>
    </row>
    <row r="10" spans="1:11" x14ac:dyDescent="0.3">
      <c r="A10" s="2">
        <v>9</v>
      </c>
      <c r="B10" s="2" t="str">
        <f>MID(H10,3,LEN(H10)-10)</f>
        <v>700</v>
      </c>
      <c r="C10" s="2" t="str">
        <f t="shared" si="0"/>
        <v>4</v>
      </c>
      <c r="D10" s="2" t="str">
        <f t="shared" si="1"/>
        <v>0</v>
      </c>
      <c r="E10" s="2" t="str" cm="1">
        <f t="array" ref="E10">_xlfn.TEXTJOIN(" | ", TRUE, _xlfn._xlws.FILTER(Diario_D!$J$2:$J$1000, Diario_D!$M$2:$M$1000=H10, ""))</f>
        <v xml:space="preserve">PvP (0-1) Duelo (2-1)  | PvP (0-2) Duelo (2-0)  | PvP (3-1) </v>
      </c>
      <c r="F10" s="2" t="s">
        <v>11</v>
      </c>
      <c r="G10" s="2">
        <f>COUNTIF(Diario_D!$M$3:$M$112,H10)</f>
        <v>3</v>
      </c>
      <c r="H10" s="2" t="str">
        <v>M_700_A_4_B_0</v>
      </c>
    </row>
    <row r="11" spans="1:11" x14ac:dyDescent="0.3">
      <c r="A11" s="2">
        <v>10</v>
      </c>
      <c r="B11" s="2" t="str">
        <f>MID(H11,3,LEN(H11)-10)</f>
        <v>700</v>
      </c>
      <c r="C11" s="2" t="str">
        <f t="shared" si="0"/>
        <v>3</v>
      </c>
      <c r="D11" s="2" t="str">
        <f t="shared" si="1"/>
        <v>0</v>
      </c>
      <c r="E11" s="2" t="str" cm="1">
        <f t="array" ref="E11">_xlfn.TEXTJOIN(" | ", TRUE, _xlfn._xlws.FILTER(Diario_D!$J$2:$J$1000, Diario_D!$M$2:$M$1000=H11, ""))</f>
        <v xml:space="preserve">PvP (1-0) Duelo (2-0) </v>
      </c>
      <c r="F11" s="2" t="s">
        <v>11</v>
      </c>
      <c r="G11" s="2">
        <f>COUNTIF(Diario_D!$M$3:$M$112,H11)</f>
        <v>1</v>
      </c>
      <c r="H11" s="2" t="str">
        <v>M_700_A_3_B_0</v>
      </c>
    </row>
    <row r="12" spans="1:11" x14ac:dyDescent="0.3">
      <c r="A12" s="2">
        <v>11</v>
      </c>
      <c r="B12" s="2" t="str">
        <f>MID(H12,3,LEN(H12)-10)</f>
        <v>675</v>
      </c>
      <c r="C12" s="2" t="str">
        <f t="shared" si="0"/>
        <v>4</v>
      </c>
      <c r="D12" s="2" t="str">
        <f t="shared" si="1"/>
        <v>1</v>
      </c>
      <c r="E12" s="2" t="str" cm="1">
        <f t="array" ref="E12">_xlfn.TEXTJOIN(" | ", TRUE, _xlfn._xlws.FILTER(Diario_D!$J$2:$J$1000, Diario_D!$M$2:$M$1000=H12, ""))</f>
        <v>Duelo (2-1) Barcos (0-1) | PvP (0-1) Duelo (2-0) Barcos (0-1) | PvP (3-0) Barcos (0-1)</v>
      </c>
      <c r="F12" s="2" t="s">
        <v>11</v>
      </c>
      <c r="G12" s="2">
        <f>COUNTIF(Diario_D!$M$3:$M$112,H12)</f>
        <v>3</v>
      </c>
      <c r="H12" s="2" t="str">
        <v>M_675_A_4_B_1</v>
      </c>
    </row>
    <row r="13" spans="1:11" x14ac:dyDescent="0.3">
      <c r="A13" s="2">
        <v>12</v>
      </c>
      <c r="B13" s="2" t="str">
        <f>MID(H13,3,LEN(H13)-10)</f>
        <v>650</v>
      </c>
      <c r="C13" s="2" t="str">
        <f t="shared" si="0"/>
        <v>4</v>
      </c>
      <c r="D13" s="2" t="str">
        <f t="shared" si="1"/>
        <v>2</v>
      </c>
      <c r="E13" s="2" t="str" cm="1">
        <f t="array" ref="E13">_xlfn.TEXTJOIN(" | ", TRUE, _xlfn._xlws.FILTER(Diario_D!$J$2:$J$1000, Diario_D!$M$2:$M$1000=H13, ""))</f>
        <v>Duelo (2-0) Barcos (0-2) | PvP (2-0) Barcos (2-0)</v>
      </c>
      <c r="F13" s="2" t="s">
        <v>11</v>
      </c>
      <c r="G13" s="2">
        <f>COUNTIF(Diario_D!$M$3:$M$112,H13)</f>
        <v>2</v>
      </c>
      <c r="H13" s="2" t="str">
        <v>M_650_A_4_B_2</v>
      </c>
    </row>
    <row r="14" spans="1:11" x14ac:dyDescent="0.3">
      <c r="A14" s="2">
        <v>13</v>
      </c>
      <c r="B14" s="2" t="str">
        <f>MID(H14,3,LEN(H14)-10)</f>
        <v>650</v>
      </c>
      <c r="C14" s="2" t="str">
        <f t="shared" si="0"/>
        <v>4</v>
      </c>
      <c r="D14" s="2" t="str">
        <f t="shared" si="1"/>
        <v>0</v>
      </c>
      <c r="E14" s="2" t="str" cm="1">
        <f t="array" ref="E14">_xlfn.TEXTJOIN(" | ", TRUE, _xlfn._xlws.FILTER(Diario_D!$J$2:$J$1000, Diario_D!$M$2:$M$1000=H14, ""))</f>
        <v xml:space="preserve">PvP (1-0) Duelo (1-2) </v>
      </c>
      <c r="F14" s="2" t="s">
        <v>11</v>
      </c>
      <c r="G14" s="2">
        <f>COUNTIF(Diario_D!$M$3:$M$112,H14)</f>
        <v>1</v>
      </c>
      <c r="H14" s="2" t="str">
        <v>M_650_A_4_B_0</v>
      </c>
    </row>
    <row r="15" spans="1:11" x14ac:dyDescent="0.3">
      <c r="A15" s="2">
        <v>14</v>
      </c>
      <c r="B15" s="2" t="str">
        <f>MID(H15,3,LEN(H15)-10)</f>
        <v>625</v>
      </c>
      <c r="C15" s="2" t="str">
        <f t="shared" si="0"/>
        <v>4</v>
      </c>
      <c r="D15" s="2" t="str">
        <f t="shared" si="1"/>
        <v>1</v>
      </c>
      <c r="E15" s="2" t="str" cm="1">
        <f t="array" ref="E15">_xlfn.TEXTJOIN(" | ", TRUE, _xlfn._xlws.FILTER(Diario_D!$J$2:$J$1000, Diario_D!$M$2:$M$1000=H15, ""))</f>
        <v>PvP (2-1) Barcos (1-0)</v>
      </c>
      <c r="F15" s="2" t="s">
        <v>11</v>
      </c>
      <c r="G15" s="2">
        <f>COUNTIF(Diario_D!$M$3:$M$112,H15)</f>
        <v>1</v>
      </c>
      <c r="H15" s="2" t="str">
        <v>M_625_A_4_B_1</v>
      </c>
    </row>
    <row r="16" spans="1:11" x14ac:dyDescent="0.3">
      <c r="A16" s="2">
        <v>15</v>
      </c>
      <c r="B16" s="2" t="str">
        <f>MID(H16,3,LEN(H16)-10)</f>
        <v>625</v>
      </c>
      <c r="C16" s="2" t="str">
        <f t="shared" si="0"/>
        <v>3</v>
      </c>
      <c r="D16" s="2" t="str">
        <f t="shared" si="1"/>
        <v>1</v>
      </c>
      <c r="E16" s="2" t="str" cm="1">
        <f t="array" ref="E16">_xlfn.TEXTJOIN(" | ", TRUE, _xlfn._xlws.FILTER(Diario_D!$J$2:$J$1000, Diario_D!$M$2:$M$1000=H16, ""))</f>
        <v>Duelo (2-0) Barcos (1-0)</v>
      </c>
      <c r="F16" s="2" t="s">
        <v>11</v>
      </c>
      <c r="G16" s="2">
        <f>COUNTIF(Diario_D!$M$3:$M$112,H16)</f>
        <v>1</v>
      </c>
      <c r="H16" s="2" t="str">
        <v>M_625_A_3_B_1</v>
      </c>
    </row>
    <row r="17" spans="1:8" x14ac:dyDescent="0.3">
      <c r="A17" s="2">
        <v>16</v>
      </c>
      <c r="B17" s="2" t="str">
        <f>MID(H17,3,LEN(H17)-10)</f>
        <v>600</v>
      </c>
      <c r="C17" s="2" t="str">
        <f t="shared" si="0"/>
        <v>4</v>
      </c>
      <c r="D17" s="2" t="str">
        <f t="shared" si="1"/>
        <v>2</v>
      </c>
      <c r="E17" s="2" t="str" cm="1">
        <f t="array" ref="E17">_xlfn.TEXTJOIN(" | ", TRUE, _xlfn._xlws.FILTER(Diario_D!$J$2:$J$1000, Diario_D!$M$2:$M$1000=H17, ""))</f>
        <v>PvP (2-0) Barcos (1-1)</v>
      </c>
      <c r="F17" s="2" t="s">
        <v>11</v>
      </c>
      <c r="G17" s="2">
        <f>COUNTIF(Diario_D!$M$3:$M$112,H17)</f>
        <v>1</v>
      </c>
      <c r="H17" s="2" t="str">
        <v>M_600_A_4_B_2</v>
      </c>
    </row>
    <row r="18" spans="1:8" x14ac:dyDescent="0.3">
      <c r="A18" s="2">
        <v>17</v>
      </c>
      <c r="B18" s="2" t="str">
        <f>MID(H18,3,LEN(H18)-10)</f>
        <v>600</v>
      </c>
      <c r="C18" s="2" t="str">
        <f t="shared" si="0"/>
        <v>4</v>
      </c>
      <c r="D18" s="2" t="str">
        <f t="shared" si="1"/>
        <v>0</v>
      </c>
      <c r="E18" s="2" t="str" cm="1">
        <f t="array" ref="E18">_xlfn.TEXTJOIN(" | ", TRUE, _xlfn._xlws.FILTER(Diario_D!$J$2:$J$1000, Diario_D!$M$2:$M$1000=H18, ""))</f>
        <v xml:space="preserve">PvP (2-0) Duelo (0-2)  | PvP (2-2) </v>
      </c>
      <c r="F18" s="2" t="s">
        <v>11</v>
      </c>
      <c r="G18" s="2">
        <f>COUNTIF(Diario_D!$M$3:$M$112,H18)</f>
        <v>2</v>
      </c>
      <c r="H18" s="2" t="str">
        <v>M_600_A_4_B_0</v>
      </c>
    </row>
    <row r="19" spans="1:8" x14ac:dyDescent="0.3">
      <c r="A19" s="2">
        <v>18</v>
      </c>
      <c r="B19" s="2" t="str">
        <f>MID(H19,3,LEN(H19)-10)</f>
        <v>600</v>
      </c>
      <c r="C19" s="2" t="str">
        <f t="shared" si="0"/>
        <v>3</v>
      </c>
      <c r="D19" s="2" t="str">
        <f t="shared" si="1"/>
        <v>0</v>
      </c>
      <c r="E19" s="2" t="str" cm="1">
        <f t="array" ref="E19">_xlfn.TEXTJOIN(" | ", TRUE, _xlfn._xlws.FILTER(Diario_D!$J$2:$J$1000, Diario_D!$M$2:$M$1000=H19, ""))</f>
        <v xml:space="preserve">Duelo (2-1)  | PvP (0-1) Duelo (2-0)  | PvP (3-0) </v>
      </c>
      <c r="F19" s="2" t="s">
        <v>11</v>
      </c>
      <c r="G19" s="2">
        <f>COUNTIF(Diario_D!$M$3:$M$112,H19)</f>
        <v>3</v>
      </c>
      <c r="H19" s="2" t="str">
        <v>M_600_A_3_B_0</v>
      </c>
    </row>
    <row r="20" spans="1:8" x14ac:dyDescent="0.3">
      <c r="A20" s="2">
        <v>19</v>
      </c>
      <c r="B20" s="2" t="str">
        <f>MID(H20,3,LEN(H20)-10)</f>
        <v>575</v>
      </c>
      <c r="C20" s="2" t="str">
        <f t="shared" si="0"/>
        <v>4</v>
      </c>
      <c r="D20" s="2" t="str">
        <f t="shared" si="1"/>
        <v>3</v>
      </c>
      <c r="E20" s="2" t="str" cm="1">
        <f t="array" ref="E20">_xlfn.TEXTJOIN(" | ", TRUE, _xlfn._xlws.FILTER(Diario_D!$J$2:$J$1000, Diario_D!$M$2:$M$1000=H20, ""))</f>
        <v>PvP (1-0) Barcos (3-0)</v>
      </c>
      <c r="F20" s="2" t="s">
        <v>11</v>
      </c>
      <c r="G20" s="2">
        <f>COUNTIF(Diario_D!$M$3:$M$112,H20)</f>
        <v>1</v>
      </c>
      <c r="H20" s="2" t="str">
        <v>M_575_A_4_B_3</v>
      </c>
    </row>
    <row r="21" spans="1:8" x14ac:dyDescent="0.3">
      <c r="A21" s="2">
        <v>20</v>
      </c>
      <c r="B21" s="2" t="str">
        <f>MID(H21,3,LEN(H21)-10)</f>
        <v>575</v>
      </c>
      <c r="C21" s="2" t="str">
        <f t="shared" si="0"/>
        <v>4</v>
      </c>
      <c r="D21" s="2" t="str">
        <f t="shared" si="1"/>
        <v>1</v>
      </c>
      <c r="E21" s="2" t="str" cm="1">
        <f t="array" ref="E21">_xlfn.TEXTJOIN(" | ", TRUE, _xlfn._xlws.FILTER(Diario_D!$J$2:$J$1000, Diario_D!$M$2:$M$1000=H21, ""))</f>
        <v>Duelo (1-2) Barcos (1-0) | PvP (2-1) Barcos (0-1)</v>
      </c>
      <c r="F21" s="2" t="s">
        <v>11</v>
      </c>
      <c r="G21" s="2">
        <f>COUNTIF(Diario_D!$M$3:$M$112,H21)</f>
        <v>2</v>
      </c>
      <c r="H21" s="2" t="str">
        <v>M_575_A_4_B_1</v>
      </c>
    </row>
    <row r="22" spans="1:8" x14ac:dyDescent="0.3">
      <c r="A22" s="2">
        <v>21</v>
      </c>
      <c r="B22" s="2" t="str">
        <f>MID(H22,3,LEN(H22)-10)</f>
        <v>575</v>
      </c>
      <c r="C22" s="2" t="str">
        <f t="shared" si="0"/>
        <v>3</v>
      </c>
      <c r="D22" s="2" t="str">
        <f t="shared" si="1"/>
        <v>1</v>
      </c>
      <c r="E22" s="2" t="str" cm="1">
        <f t="array" ref="E22">_xlfn.TEXTJOIN(" | ", TRUE, _xlfn._xlws.FILTER(Diario_D!$J$2:$J$1000, Diario_D!$M$2:$M$1000=H22, ""))</f>
        <v>Duelo (2-0) Barcos (0-1)</v>
      </c>
      <c r="F22" s="2" t="s">
        <v>11</v>
      </c>
      <c r="G22" s="2">
        <f>COUNTIF(Diario_D!$M$3:$M$112,H22)</f>
        <v>1</v>
      </c>
      <c r="H22" s="2" t="str">
        <v>M_575_A_3_B_1</v>
      </c>
    </row>
    <row r="23" spans="1:8" x14ac:dyDescent="0.3">
      <c r="A23" s="2">
        <v>22</v>
      </c>
      <c r="B23" s="2" t="str">
        <f>MID(H23,3,LEN(H23)-10)</f>
        <v>550</v>
      </c>
      <c r="C23" s="2" t="str">
        <f t="shared" si="0"/>
        <v>4</v>
      </c>
      <c r="D23" s="2" t="str">
        <f t="shared" si="1"/>
        <v>2</v>
      </c>
      <c r="E23" s="2" t="str" cm="1">
        <f t="array" ref="E23">_xlfn.TEXTJOIN(" | ", TRUE, _xlfn._xlws.FILTER(Diario_D!$J$2:$J$1000, Diario_D!$M$2:$M$1000=H23, ""))</f>
        <v>PvP (2-0) Barcos (0-2) | PvP (1-1) Barcos (2-0)</v>
      </c>
      <c r="F23" s="2" t="s">
        <v>11</v>
      </c>
      <c r="G23" s="2">
        <f>COUNTIF(Diario_D!$M$3:$M$112,H23)</f>
        <v>2</v>
      </c>
      <c r="H23" s="2" t="str">
        <v>M_550_A_4_B_2</v>
      </c>
    </row>
    <row r="24" spans="1:8" x14ac:dyDescent="0.3">
      <c r="A24" s="2">
        <v>23</v>
      </c>
      <c r="B24" s="2" t="str">
        <f>MID(H24,3,LEN(H24)-10)</f>
        <v>550</v>
      </c>
      <c r="C24" s="2" t="str">
        <f t="shared" si="0"/>
        <v>4</v>
      </c>
      <c r="D24" s="2" t="str">
        <f t="shared" si="1"/>
        <v>0</v>
      </c>
      <c r="E24" s="2" t="str" cm="1">
        <f t="array" ref="E24">_xlfn.TEXTJOIN(" | ", TRUE, _xlfn._xlws.FILTER(Diario_D!$J$2:$J$1000, Diario_D!$M$2:$M$1000=H24, ""))</f>
        <v xml:space="preserve">PvP (0-1) Duelo (1-2) </v>
      </c>
      <c r="F24" s="2" t="s">
        <v>11</v>
      </c>
      <c r="G24" s="2">
        <f>COUNTIF(Diario_D!$M$3:$M$112,H24)</f>
        <v>1</v>
      </c>
      <c r="H24" s="2" t="str">
        <v>M_550_A_4_B_0</v>
      </c>
    </row>
    <row r="25" spans="1:8" x14ac:dyDescent="0.3">
      <c r="A25" s="2">
        <v>24</v>
      </c>
      <c r="B25" s="2" t="str">
        <f>MID(H25,3,LEN(H25)-10)</f>
        <v>525</v>
      </c>
      <c r="C25" s="2" t="str">
        <f t="shared" si="0"/>
        <v>4</v>
      </c>
      <c r="D25" s="2" t="str">
        <f t="shared" si="1"/>
        <v>3</v>
      </c>
      <c r="E25" s="2" t="str" cm="1">
        <f t="array" ref="E25">_xlfn.TEXTJOIN(" | ", TRUE, _xlfn._xlws.FILTER(Diario_D!$J$2:$J$1000, Diario_D!$M$2:$M$1000=H25, ""))</f>
        <v>PvP (1-0) Barcos (2-1)</v>
      </c>
      <c r="F25" s="2" t="s">
        <v>11</v>
      </c>
      <c r="G25" s="2">
        <f>COUNTIF(Diario_D!$M$3:$M$112,H25)</f>
        <v>1</v>
      </c>
      <c r="H25" s="2" t="str">
        <v>M_525_A_4_B_3</v>
      </c>
    </row>
    <row r="26" spans="1:8" x14ac:dyDescent="0.3">
      <c r="A26" s="2">
        <v>25</v>
      </c>
      <c r="B26" s="2" t="str">
        <f>MID(H26,3,LEN(H26)-10)</f>
        <v>525</v>
      </c>
      <c r="C26" s="2" t="str">
        <f t="shared" si="0"/>
        <v>4</v>
      </c>
      <c r="D26" s="2" t="str">
        <f t="shared" si="1"/>
        <v>1</v>
      </c>
      <c r="E26" s="2" t="str" cm="1">
        <f t="array" ref="E26">_xlfn.TEXTJOIN(" | ", TRUE, _xlfn._xlws.FILTER(Diario_D!$J$2:$J$1000, Diario_D!$M$2:$M$1000=H26, ""))</f>
        <v>Duelo (1-2) Barcos (0-1) | PvP (1-0) Duelo (0-2) Barcos (1-0) | PvP (1-2) Barcos (1-0)</v>
      </c>
      <c r="F26" s="2" t="s">
        <v>11</v>
      </c>
      <c r="G26" s="2">
        <f>COUNTIF(Diario_D!$M$3:$M$112,H26)</f>
        <v>3</v>
      </c>
      <c r="H26" s="2" t="str">
        <v>M_525_A_4_B_1</v>
      </c>
    </row>
    <row r="27" spans="1:8" x14ac:dyDescent="0.3">
      <c r="A27" s="2">
        <v>26</v>
      </c>
      <c r="B27" s="2" t="str">
        <f>MID(H27,3,LEN(H27)-10)</f>
        <v>525</v>
      </c>
      <c r="C27" s="2" t="str">
        <f t="shared" si="0"/>
        <v>3</v>
      </c>
      <c r="D27" s="2" t="str">
        <f t="shared" si="1"/>
        <v>1</v>
      </c>
      <c r="E27" s="2" t="str" cm="1">
        <f t="array" ref="E27">_xlfn.TEXTJOIN(" | ", TRUE, _xlfn._xlws.FILTER(Diario_D!$J$2:$J$1000, Diario_D!$M$2:$M$1000=H27, ""))</f>
        <v>PvP (2-0) Barcos (1-0)</v>
      </c>
      <c r="F27" s="2" t="s">
        <v>11</v>
      </c>
      <c r="G27" s="2">
        <f>COUNTIF(Diario_D!$M$3:$M$112,H27)</f>
        <v>1</v>
      </c>
      <c r="H27" s="2" t="str">
        <v>M_525_A_3_B_1</v>
      </c>
    </row>
    <row r="28" spans="1:8" x14ac:dyDescent="0.3">
      <c r="A28" s="2">
        <v>27</v>
      </c>
      <c r="B28" s="2" t="str">
        <f>MID(H28,3,LEN(H28)-10)</f>
        <v>500</v>
      </c>
      <c r="C28" s="2" t="str">
        <f t="shared" si="0"/>
        <v>4</v>
      </c>
      <c r="D28" s="2" t="str">
        <f t="shared" si="1"/>
        <v>4</v>
      </c>
      <c r="E28" s="2" t="str" cm="1">
        <f t="array" ref="E28">_xlfn.TEXTJOIN(" | ", TRUE, _xlfn._xlws.FILTER(Diario_D!$J$2:$J$1000, Diario_D!$M$2:$M$1000=H28, ""))</f>
        <v>Barcos (4-0)</v>
      </c>
      <c r="F28" s="2" t="s">
        <v>11</v>
      </c>
      <c r="G28" s="2">
        <f>COUNTIF(Diario_D!$M$3:$M$112,H28)</f>
        <v>1</v>
      </c>
      <c r="H28" s="2" t="str">
        <v>M_500_A_4_B_4</v>
      </c>
    </row>
    <row r="29" spans="1:8" x14ac:dyDescent="0.3">
      <c r="A29" s="2">
        <v>28</v>
      </c>
      <c r="B29" s="2" t="str">
        <f>MID(H29,3,LEN(H29)-10)</f>
        <v>500</v>
      </c>
      <c r="C29" s="2" t="str">
        <f t="shared" si="0"/>
        <v>4</v>
      </c>
      <c r="D29" s="2" t="str">
        <f t="shared" si="1"/>
        <v>2</v>
      </c>
      <c r="E29" s="2" t="str" cm="1">
        <f t="array" ref="E29">_xlfn.TEXTJOIN(" | ", TRUE, _xlfn._xlws.FILTER(Diario_D!$J$2:$J$1000, Diario_D!$M$2:$M$1000=H29, ""))</f>
        <v>PvP (1-1) Barcos (1-1)</v>
      </c>
      <c r="F29" s="2" t="s">
        <v>11</v>
      </c>
      <c r="G29" s="2">
        <f>COUNTIF(Diario_D!$M$3:$M$112,H29)</f>
        <v>1</v>
      </c>
      <c r="H29" s="2" t="str">
        <v>M_500_A_4_B_2</v>
      </c>
    </row>
    <row r="30" spans="1:8" x14ac:dyDescent="0.3">
      <c r="A30" s="2">
        <v>29</v>
      </c>
      <c r="B30" s="2" t="str">
        <f>MID(H30,3,LEN(H30)-10)</f>
        <v>500</v>
      </c>
      <c r="C30" s="2" t="str">
        <f t="shared" si="0"/>
        <v>4</v>
      </c>
      <c r="D30" s="2" t="str">
        <f t="shared" si="1"/>
        <v>0</v>
      </c>
      <c r="E30" s="2" t="str" cm="1">
        <f t="array" ref="E30">_xlfn.TEXTJOIN(" | ", TRUE, _xlfn._xlws.FILTER(Diario_D!$J$2:$J$1000, Diario_D!$M$2:$M$1000=H30, ""))</f>
        <v xml:space="preserve">PvP (1-1) Duelo (0-2)  | PvP (1-3) </v>
      </c>
      <c r="F30" s="2" t="s">
        <v>11</v>
      </c>
      <c r="G30" s="2">
        <f>COUNTIF(Diario_D!$M$3:$M$112,H30)</f>
        <v>2</v>
      </c>
      <c r="H30" s="2" t="str">
        <v>M_500_A_4_B_0</v>
      </c>
    </row>
    <row r="31" spans="1:8" x14ac:dyDescent="0.3">
      <c r="A31" s="2">
        <v>30</v>
      </c>
      <c r="B31" s="2" t="str">
        <f>MID(H31,3,LEN(H31)-10)</f>
        <v>500</v>
      </c>
      <c r="C31" s="2" t="str">
        <f t="shared" si="0"/>
        <v>3</v>
      </c>
      <c r="D31" s="2" t="str">
        <f t="shared" si="1"/>
        <v>0</v>
      </c>
      <c r="E31" s="2" t="str" cm="1">
        <f t="array" ref="E31">_xlfn.TEXTJOIN(" | ", TRUE, _xlfn._xlws.FILTER(Diario_D!$J$2:$J$1000, Diario_D!$M$2:$M$1000=H31, ""))</f>
        <v xml:space="preserve">PvP (2-1) </v>
      </c>
      <c r="F31" s="2" t="s">
        <v>11</v>
      </c>
      <c r="G31" s="2">
        <f>COUNTIF(Diario_D!$M$3:$M$112,H31)</f>
        <v>1</v>
      </c>
      <c r="H31" s="2" t="str">
        <v>M_500_A_3_B_0</v>
      </c>
    </row>
    <row r="32" spans="1:8" x14ac:dyDescent="0.3">
      <c r="A32" s="2">
        <v>31</v>
      </c>
      <c r="B32" s="2" t="str">
        <f>MID(H32,3,LEN(H32)-10)</f>
        <v>500</v>
      </c>
      <c r="C32" s="2" t="str">
        <f t="shared" si="0"/>
        <v>2</v>
      </c>
      <c r="D32" s="2" t="str">
        <f t="shared" si="1"/>
        <v>0</v>
      </c>
      <c r="E32" s="2" t="str" cm="1">
        <f t="array" ref="E32">_xlfn.TEXTJOIN(" | ", TRUE, _xlfn._xlws.FILTER(Diario_D!$J$2:$J$1000, Diario_D!$M$2:$M$1000=H32, ""))</f>
        <v xml:space="preserve">Duelo (2-0) </v>
      </c>
      <c r="F32" s="2" t="s">
        <v>11</v>
      </c>
      <c r="G32" s="2">
        <f>COUNTIF(Diario_D!$M$3:$M$112,H32)</f>
        <v>1</v>
      </c>
      <c r="H32" s="2" t="str">
        <v>M_500_A_2_B_0</v>
      </c>
    </row>
    <row r="33" spans="1:8" x14ac:dyDescent="0.3">
      <c r="A33" s="2">
        <v>32</v>
      </c>
      <c r="B33" s="2" t="str">
        <f>MID(H33,3,LEN(H33)-10)</f>
        <v>475</v>
      </c>
      <c r="C33" s="2" t="str">
        <f t="shared" si="0"/>
        <v>4</v>
      </c>
      <c r="D33" s="2" t="str">
        <f t="shared" si="1"/>
        <v>3</v>
      </c>
      <c r="E33" s="2" t="str" cm="1">
        <f t="array" ref="E33">_xlfn.TEXTJOIN(" | ", TRUE, _xlfn._xlws.FILTER(Diario_D!$J$2:$J$1000, Diario_D!$M$2:$M$1000=H33, ""))</f>
        <v>PvP (1-0) Barcos (1-2) | PvP (0-1) Barcos (3-0)</v>
      </c>
      <c r="F33" s="2" t="s">
        <v>11</v>
      </c>
      <c r="G33" s="2">
        <f>COUNTIF(Diario_D!$M$3:$M$112,H33)</f>
        <v>2</v>
      </c>
      <c r="H33" s="2" t="str">
        <v>M_475_A_4_B_3</v>
      </c>
    </row>
    <row r="34" spans="1:8" x14ac:dyDescent="0.3">
      <c r="A34" s="2">
        <v>33</v>
      </c>
      <c r="B34" s="2" t="str">
        <f>MID(H34,3,LEN(H34)-10)</f>
        <v>475</v>
      </c>
      <c r="C34" s="2" t="str">
        <f t="shared" si="0"/>
        <v>4</v>
      </c>
      <c r="D34" s="2" t="str">
        <f t="shared" si="1"/>
        <v>1</v>
      </c>
      <c r="E34" s="2" t="str" cm="1">
        <f t="array" ref="E34">_xlfn.TEXTJOIN(" | ", TRUE, _xlfn._xlws.FILTER(Diario_D!$J$2:$J$1000, Diario_D!$M$2:$M$1000=H34, ""))</f>
        <v>PvP (1-0) Duelo (0-2) Barcos (0-1) | PvP (1-2) Barcos (0-1)</v>
      </c>
      <c r="F34" s="2" t="s">
        <v>11</v>
      </c>
      <c r="G34" s="2">
        <f>COUNTIF(Diario_D!$M$3:$M$112,H34)</f>
        <v>2</v>
      </c>
      <c r="H34" s="2" t="str">
        <v>M_475_A_4_B_1</v>
      </c>
    </row>
    <row r="35" spans="1:8" x14ac:dyDescent="0.3">
      <c r="A35" s="2">
        <v>34</v>
      </c>
      <c r="B35" s="2" t="str">
        <f>MID(H35,3,LEN(H35)-10)</f>
        <v>475</v>
      </c>
      <c r="C35" s="2" t="str">
        <f t="shared" si="0"/>
        <v>3</v>
      </c>
      <c r="D35" s="2" t="str">
        <f t="shared" si="1"/>
        <v>1</v>
      </c>
      <c r="E35" s="2" t="str" cm="1">
        <f t="array" ref="E35">_xlfn.TEXTJOIN(" | ", TRUE, _xlfn._xlws.FILTER(Diario_D!$J$2:$J$1000, Diario_D!$M$2:$M$1000=H35, ""))</f>
        <v>PvP (2-0) Barcos (0-1)</v>
      </c>
      <c r="F35" s="2" t="s">
        <v>11</v>
      </c>
      <c r="G35" s="2">
        <f>COUNTIF(Diario_D!$M$3:$M$112,H35)</f>
        <v>1</v>
      </c>
      <c r="H35" s="2" t="str">
        <v>M_475_A_3_B_1</v>
      </c>
    </row>
    <row r="36" spans="1:8" x14ac:dyDescent="0.3">
      <c r="A36" s="2">
        <v>35</v>
      </c>
      <c r="B36" s="2" t="str">
        <f>MID(H36,3,LEN(H36)-10)</f>
        <v>450</v>
      </c>
      <c r="C36" s="2" t="str">
        <f t="shared" si="0"/>
        <v>4</v>
      </c>
      <c r="D36" s="2" t="str">
        <f t="shared" si="1"/>
        <v>4</v>
      </c>
      <c r="E36" s="2" t="str" cm="1">
        <f t="array" ref="E36">_xlfn.TEXTJOIN(" | ", TRUE, _xlfn._xlws.FILTER(Diario_D!$J$2:$J$1000, Diario_D!$M$2:$M$1000=H36, ""))</f>
        <v>Barcos (3-1)</v>
      </c>
      <c r="F36" s="2" t="s">
        <v>11</v>
      </c>
      <c r="G36" s="2">
        <f>COUNTIF(Diario_D!$M$3:$M$112,H36)</f>
        <v>1</v>
      </c>
      <c r="H36" s="2" t="str">
        <v>M_450_A_4_B_4</v>
      </c>
    </row>
    <row r="37" spans="1:8" x14ac:dyDescent="0.3">
      <c r="A37" s="2">
        <v>36</v>
      </c>
      <c r="B37" s="2" t="str">
        <f>MID(H37,3,LEN(H37)-10)</f>
        <v>450</v>
      </c>
      <c r="C37" s="2" t="str">
        <f t="shared" si="0"/>
        <v>4</v>
      </c>
      <c r="D37" s="2" t="str">
        <f t="shared" si="1"/>
        <v>2</v>
      </c>
      <c r="E37" s="2" t="str" cm="1">
        <f t="array" ref="E37">_xlfn.TEXTJOIN(" | ", TRUE, _xlfn._xlws.FILTER(Diario_D!$J$2:$J$1000, Diario_D!$M$2:$M$1000=H37, ""))</f>
        <v>Duelo (0-2) Barcos (2-0) | PvP (1-1) Barcos (0-2) | PvP (0-2) Barcos (2-0)</v>
      </c>
      <c r="F37" s="2" t="s">
        <v>11</v>
      </c>
      <c r="G37" s="2">
        <f>COUNTIF(Diario_D!$M$3:$M$112,H37)</f>
        <v>3</v>
      </c>
      <c r="H37" s="2" t="str">
        <v>M_450_A_4_B_2</v>
      </c>
    </row>
    <row r="38" spans="1:8" x14ac:dyDescent="0.3">
      <c r="A38" s="2">
        <v>37</v>
      </c>
      <c r="B38" s="2" t="str">
        <f>MID(H38,3,LEN(H38)-10)</f>
        <v>450</v>
      </c>
      <c r="C38" s="2" t="str">
        <f t="shared" si="0"/>
        <v>3</v>
      </c>
      <c r="D38" s="2" t="str">
        <f t="shared" si="1"/>
        <v>2</v>
      </c>
      <c r="E38" s="2" t="str" cm="1">
        <f t="array" ref="E38">_xlfn.TEXTJOIN(" | ", TRUE, _xlfn._xlws.FILTER(Diario_D!$J$2:$J$1000, Diario_D!$M$2:$M$1000=H38, ""))</f>
        <v>PvP (1-0) Barcos (2-0)</v>
      </c>
      <c r="F38" s="2" t="s">
        <v>11</v>
      </c>
      <c r="G38" s="2">
        <f>COUNTIF(Diario_D!$M$3:$M$112,H38)</f>
        <v>1</v>
      </c>
      <c r="H38" s="2" t="str">
        <v>M_450_A_3_B_2</v>
      </c>
    </row>
    <row r="39" spans="1:8" x14ac:dyDescent="0.3">
      <c r="A39" s="2">
        <v>38</v>
      </c>
      <c r="B39" s="2" t="str">
        <f>MID(H39,3,LEN(H39)-10)</f>
        <v>450</v>
      </c>
      <c r="C39" s="2" t="str">
        <f t="shared" si="0"/>
        <v>3</v>
      </c>
      <c r="D39" s="2" t="str">
        <f t="shared" si="1"/>
        <v>0</v>
      </c>
      <c r="E39" s="2" t="str" cm="1">
        <f t="array" ref="E39">_xlfn.TEXTJOIN(" | ", TRUE, _xlfn._xlws.FILTER(Diario_D!$J$2:$J$1000, Diario_D!$M$2:$M$1000=H39, ""))</f>
        <v xml:space="preserve">Duelo (1-2) </v>
      </c>
      <c r="F39" s="2" t="s">
        <v>11</v>
      </c>
      <c r="G39" s="2">
        <f>COUNTIF(Diario_D!$M$3:$M$112,H39)</f>
        <v>1</v>
      </c>
      <c r="H39" s="2" t="str">
        <v>M_450_A_3_B_0</v>
      </c>
    </row>
    <row r="40" spans="1:8" x14ac:dyDescent="0.3">
      <c r="A40" s="2">
        <v>39</v>
      </c>
      <c r="B40" s="2" t="str">
        <f>MID(H40,3,LEN(H40)-10)</f>
        <v>425</v>
      </c>
      <c r="C40" s="2" t="str">
        <f t="shared" si="0"/>
        <v>4</v>
      </c>
      <c r="D40" s="2" t="str">
        <f t="shared" si="1"/>
        <v>3</v>
      </c>
      <c r="E40" s="2" t="str" cm="1">
        <f t="array" ref="E40">_xlfn.TEXTJOIN(" | ", TRUE, _xlfn._xlws.FILTER(Diario_D!$J$2:$J$1000, Diario_D!$M$2:$M$1000=H40, ""))</f>
        <v>PvP (1-0) Barcos (0-3) | PvP (0-1) Barcos (2-1)</v>
      </c>
      <c r="F40" s="2" t="s">
        <v>11</v>
      </c>
      <c r="G40" s="2">
        <f>COUNTIF(Diario_D!$M$3:$M$112,H40)</f>
        <v>2</v>
      </c>
      <c r="H40" s="2" t="str">
        <v>M_425_A_4_B_3</v>
      </c>
    </row>
    <row r="41" spans="1:8" x14ac:dyDescent="0.3">
      <c r="A41" s="2">
        <v>40</v>
      </c>
      <c r="B41" s="2" t="str">
        <f>MID(H41,3,LEN(H41)-10)</f>
        <v>425</v>
      </c>
      <c r="C41" s="2" t="str">
        <f t="shared" si="0"/>
        <v>4</v>
      </c>
      <c r="D41" s="2" t="str">
        <f t="shared" si="1"/>
        <v>1</v>
      </c>
      <c r="E41" s="2" t="str" cm="1">
        <f t="array" ref="E41">_xlfn.TEXTJOIN(" | ", TRUE, _xlfn._xlws.FILTER(Diario_D!$J$2:$J$1000, Diario_D!$M$2:$M$1000=H41, ""))</f>
        <v>PvP (0-1) Duelo (0-2) Barcos (1-0) | PvP (0-3) Barcos (1-0)</v>
      </c>
      <c r="F41" s="2" t="s">
        <v>11</v>
      </c>
      <c r="G41" s="2">
        <f>COUNTIF(Diario_D!$M$3:$M$112,H41)</f>
        <v>2</v>
      </c>
      <c r="H41" s="2" t="str">
        <v>M_425_A_4_B_1</v>
      </c>
    </row>
    <row r="42" spans="1:8" x14ac:dyDescent="0.3">
      <c r="A42" s="2">
        <v>41</v>
      </c>
      <c r="B42" s="2" t="str">
        <f>MID(H42,3,LEN(H42)-10)</f>
        <v>425</v>
      </c>
      <c r="C42" s="2" t="str">
        <f t="shared" si="0"/>
        <v>3</v>
      </c>
      <c r="D42" s="2" t="str">
        <f t="shared" si="1"/>
        <v>1</v>
      </c>
      <c r="E42" s="2" t="str" cm="1">
        <f t="array" ref="E42">_xlfn.TEXTJOIN(" | ", TRUE, _xlfn._xlws.FILTER(Diario_D!$J$2:$J$1000, Diario_D!$M$2:$M$1000=H42, ""))</f>
        <v>PvP (1-1) Barcos (1-0)</v>
      </c>
      <c r="F42" s="2" t="s">
        <v>11</v>
      </c>
      <c r="G42" s="2">
        <f>COUNTIF(Diario_D!$M$3:$M$112,H42)</f>
        <v>1</v>
      </c>
      <c r="H42" s="2" t="str">
        <v>M_425_A_3_B_1</v>
      </c>
    </row>
    <row r="43" spans="1:8" x14ac:dyDescent="0.3">
      <c r="A43" s="2">
        <v>42</v>
      </c>
      <c r="B43" s="2" t="str">
        <f>MID(H43,3,LEN(H43)-10)</f>
        <v>400</v>
      </c>
      <c r="C43" s="2" t="str">
        <f t="shared" si="0"/>
        <v>4</v>
      </c>
      <c r="D43" s="2" t="str">
        <f t="shared" si="1"/>
        <v>4</v>
      </c>
      <c r="E43" s="2" t="str" cm="1">
        <f t="array" ref="E43">_xlfn.TEXTJOIN(" | ", TRUE, _xlfn._xlws.FILTER(Diario_D!$J$2:$J$1000, Diario_D!$M$2:$M$1000=H43, ""))</f>
        <v>Barcos (2-2)</v>
      </c>
      <c r="F43" s="2" t="s">
        <v>11</v>
      </c>
      <c r="G43" s="2">
        <f>COUNTIF(Diario_D!$M$3:$M$112,H43)</f>
        <v>1</v>
      </c>
      <c r="H43" s="2" t="str">
        <v>M_400_A_4_B_4</v>
      </c>
    </row>
    <row r="44" spans="1:8" x14ac:dyDescent="0.3">
      <c r="A44" s="2">
        <v>43</v>
      </c>
      <c r="B44" s="2" t="str">
        <f>MID(H44,3,LEN(H44)-10)</f>
        <v>400</v>
      </c>
      <c r="C44" s="2" t="str">
        <f t="shared" si="0"/>
        <v>4</v>
      </c>
      <c r="D44" s="2" t="str">
        <f t="shared" si="1"/>
        <v>2</v>
      </c>
      <c r="E44" s="2" t="str" cm="1">
        <f t="array" ref="E44">_xlfn.TEXTJOIN(" | ", TRUE, _xlfn._xlws.FILTER(Diario_D!$J$2:$J$1000, Diario_D!$M$2:$M$1000=H44, ""))</f>
        <v>Duelo (0-2) Barcos (1-1) | PvP (0-2) Barcos (1-1)</v>
      </c>
      <c r="F44" s="2" t="s">
        <v>11</v>
      </c>
      <c r="G44" s="2">
        <f>COUNTIF(Diario_D!$M$3:$M$112,H44)</f>
        <v>2</v>
      </c>
      <c r="H44" s="2" t="str">
        <v>M_400_A_4_B_2</v>
      </c>
    </row>
    <row r="45" spans="1:8" x14ac:dyDescent="0.3">
      <c r="A45" s="2">
        <v>44</v>
      </c>
      <c r="B45" s="2" t="str">
        <f>MID(H45,3,LEN(H45)-10)</f>
        <v>400</v>
      </c>
      <c r="C45" s="2" t="str">
        <f t="shared" si="0"/>
        <v>4</v>
      </c>
      <c r="D45" s="2" t="str">
        <f t="shared" si="1"/>
        <v>0</v>
      </c>
      <c r="E45" s="2" t="str" cm="1">
        <f t="array" ref="E45">_xlfn.TEXTJOIN(" | ", TRUE, _xlfn._xlws.FILTER(Diario_D!$J$2:$J$1000, Diario_D!$M$2:$M$1000=H45, ""))</f>
        <v xml:space="preserve">PvP (0-2) Duelo (0-2)  | PvP (0-4) </v>
      </c>
      <c r="F45" s="2" t="s">
        <v>11</v>
      </c>
      <c r="G45" s="2">
        <f>COUNTIF(Diario_D!$M$3:$M$112,H45)</f>
        <v>2</v>
      </c>
      <c r="H45" s="2" t="str">
        <v>M_400_A_4_B_0</v>
      </c>
    </row>
    <row r="46" spans="1:8" x14ac:dyDescent="0.3">
      <c r="A46" s="2">
        <v>45</v>
      </c>
      <c r="B46" s="2" t="str">
        <f>MID(H46,3,LEN(H46)-10)</f>
        <v>400</v>
      </c>
      <c r="C46" s="2" t="str">
        <f t="shared" si="0"/>
        <v>3</v>
      </c>
      <c r="D46" s="2" t="str">
        <f t="shared" si="1"/>
        <v>2</v>
      </c>
      <c r="E46" s="2" t="str" cm="1">
        <f t="array" ref="E46">_xlfn.TEXTJOIN(" | ", TRUE, _xlfn._xlws.FILTER(Diario_D!$J$2:$J$1000, Diario_D!$M$2:$M$1000=H46, ""))</f>
        <v>PvP (1-0) Barcos (1-1)</v>
      </c>
      <c r="F46" s="2" t="s">
        <v>11</v>
      </c>
      <c r="G46" s="2">
        <f>COUNTIF(Diario_D!$M$3:$M$112,H46)</f>
        <v>1</v>
      </c>
      <c r="H46" s="2" t="str">
        <v>M_400_A_3_B_2</v>
      </c>
    </row>
    <row r="47" spans="1:8" x14ac:dyDescent="0.3">
      <c r="A47" s="2">
        <v>46</v>
      </c>
      <c r="B47" s="2" t="str">
        <f>MID(H47,3,LEN(H47)-10)</f>
        <v>400</v>
      </c>
      <c r="C47" s="2" t="str">
        <f t="shared" si="0"/>
        <v>3</v>
      </c>
      <c r="D47" s="2" t="str">
        <f t="shared" si="1"/>
        <v>0</v>
      </c>
      <c r="E47" s="2" t="str" cm="1">
        <f t="array" ref="E47">_xlfn.TEXTJOIN(" | ", TRUE, _xlfn._xlws.FILTER(Diario_D!$J$2:$J$1000, Diario_D!$M$2:$M$1000=H47, ""))</f>
        <v xml:space="preserve">PvP (1-0) Duelo (0-2)  | PvP (1-2) </v>
      </c>
      <c r="F47" s="2" t="s">
        <v>11</v>
      </c>
      <c r="G47" s="2">
        <f>COUNTIF(Diario_D!$M$3:$M$112,H47)</f>
        <v>2</v>
      </c>
      <c r="H47" s="2" t="str">
        <v>M_400_A_3_B_0</v>
      </c>
    </row>
    <row r="48" spans="1:8" x14ac:dyDescent="0.3">
      <c r="A48" s="2">
        <v>47</v>
      </c>
      <c r="B48" s="2" t="str">
        <f>MID(H48,3,LEN(H48)-10)</f>
        <v>400</v>
      </c>
      <c r="C48" s="2" t="str">
        <f t="shared" si="0"/>
        <v>2</v>
      </c>
      <c r="D48" s="2" t="str">
        <f t="shared" si="1"/>
        <v>0</v>
      </c>
      <c r="E48" s="2" t="str" cm="1">
        <f t="array" ref="E48">_xlfn.TEXTJOIN(" | ", TRUE, _xlfn._xlws.FILTER(Diario_D!$J$2:$J$1000, Diario_D!$M$2:$M$1000=H48, ""))</f>
        <v xml:space="preserve">PvP (2-0) </v>
      </c>
      <c r="F48" s="2" t="s">
        <v>11</v>
      </c>
      <c r="G48" s="2">
        <f>COUNTIF(Diario_D!$M$3:$M$112,H48)</f>
        <v>1</v>
      </c>
      <c r="H48" s="2" t="str">
        <v>M_400_A_2_B_0</v>
      </c>
    </row>
    <row r="49" spans="1:8" x14ac:dyDescent="0.3">
      <c r="A49" s="2">
        <v>48</v>
      </c>
      <c r="B49" s="2" t="str">
        <f>MID(H49,3,LEN(H49)-10)</f>
        <v>375</v>
      </c>
      <c r="C49" s="2" t="str">
        <f t="shared" si="0"/>
        <v>4</v>
      </c>
      <c r="D49" s="2" t="str">
        <f t="shared" si="1"/>
        <v>3</v>
      </c>
      <c r="E49" s="2" t="str" cm="1">
        <f t="array" ref="E49">_xlfn.TEXTJOIN(" | ", TRUE, _xlfn._xlws.FILTER(Diario_D!$J$2:$J$1000, Diario_D!$M$2:$M$1000=H49, ""))</f>
        <v>PvP (0-1) Barcos (1-2)</v>
      </c>
      <c r="F49" s="2" t="s">
        <v>11</v>
      </c>
      <c r="G49" s="2">
        <f>COUNTIF(Diario_D!$M$3:$M$112,H49)</f>
        <v>1</v>
      </c>
      <c r="H49" s="2" t="str">
        <v>M_375_A_4_B_3</v>
      </c>
    </row>
    <row r="50" spans="1:8" x14ac:dyDescent="0.3">
      <c r="A50" s="2">
        <v>49</v>
      </c>
      <c r="B50" s="2" t="str">
        <f>MID(H50,3,LEN(H50)-10)</f>
        <v>375</v>
      </c>
      <c r="C50" s="2" t="str">
        <f t="shared" si="0"/>
        <v>4</v>
      </c>
      <c r="D50" s="2" t="str">
        <f t="shared" si="1"/>
        <v>1</v>
      </c>
      <c r="E50" s="2" t="str" cm="1">
        <f t="array" ref="E50">_xlfn.TEXTJOIN(" | ", TRUE, _xlfn._xlws.FILTER(Diario_D!$J$2:$J$1000, Diario_D!$M$2:$M$1000=H50, ""))</f>
        <v>PvP (0-1) Duelo (0-2) Barcos (0-1) | PvP (0-3) Barcos (0-1)</v>
      </c>
      <c r="F50" s="2" t="s">
        <v>11</v>
      </c>
      <c r="G50" s="2">
        <f>COUNTIF(Diario_D!$M$3:$M$112,H50)</f>
        <v>2</v>
      </c>
      <c r="H50" s="2" t="str">
        <v>M_375_A_4_B_1</v>
      </c>
    </row>
    <row r="51" spans="1:8" x14ac:dyDescent="0.3">
      <c r="A51" s="2">
        <v>50</v>
      </c>
      <c r="B51" s="2" t="str">
        <f>MID(H51,3,LEN(H51)-10)</f>
        <v>375</v>
      </c>
      <c r="C51" s="2" t="str">
        <f t="shared" si="0"/>
        <v>3</v>
      </c>
      <c r="D51" s="2" t="str">
        <f t="shared" si="1"/>
        <v>3</v>
      </c>
      <c r="E51" s="2" t="str" cm="1">
        <f t="array" ref="E51">_xlfn.TEXTJOIN(" | ", TRUE, _xlfn._xlws.FILTER(Diario_D!$J$2:$J$1000, Diario_D!$M$2:$M$1000=H51, ""))</f>
        <v>Barcos (3-0)</v>
      </c>
      <c r="F51" s="2" t="s">
        <v>11</v>
      </c>
      <c r="G51" s="2">
        <f>COUNTIF(Diario_D!$M$3:$M$112,H51)</f>
        <v>1</v>
      </c>
      <c r="H51" s="2" t="str">
        <v>M_375_A_3_B_3</v>
      </c>
    </row>
    <row r="52" spans="1:8" x14ac:dyDescent="0.3">
      <c r="A52" s="2">
        <v>51</v>
      </c>
      <c r="B52" s="2" t="str">
        <f>MID(H52,3,LEN(H52)-10)</f>
        <v>375</v>
      </c>
      <c r="C52" s="2" t="str">
        <f t="shared" si="0"/>
        <v>3</v>
      </c>
      <c r="D52" s="2" t="str">
        <f t="shared" si="1"/>
        <v>1</v>
      </c>
      <c r="E52" s="2" t="str" cm="1">
        <f t="array" ref="E52">_xlfn.TEXTJOIN(" | ", TRUE, _xlfn._xlws.FILTER(Diario_D!$J$2:$J$1000, Diario_D!$M$2:$M$1000=H52, ""))</f>
        <v>PvP (1-1) Barcos (0-1)</v>
      </c>
      <c r="F52" s="2" t="s">
        <v>11</v>
      </c>
      <c r="G52" s="2">
        <f>COUNTIF(Diario_D!$M$3:$M$112,H52)</f>
        <v>1</v>
      </c>
      <c r="H52" s="2" t="str">
        <v>M_375_A_3_B_1</v>
      </c>
    </row>
    <row r="53" spans="1:8" x14ac:dyDescent="0.3">
      <c r="A53" s="2">
        <v>52</v>
      </c>
      <c r="B53" s="2" t="str">
        <f>MID(H53,3,LEN(H53)-10)</f>
        <v>350</v>
      </c>
      <c r="C53" s="2" t="str">
        <f t="shared" si="0"/>
        <v>4</v>
      </c>
      <c r="D53" s="2" t="str">
        <f t="shared" si="1"/>
        <v>4</v>
      </c>
      <c r="E53" s="2" t="str" cm="1">
        <f t="array" ref="E53">_xlfn.TEXTJOIN(" | ", TRUE, _xlfn._xlws.FILTER(Diario_D!$J$2:$J$1000, Diario_D!$M$2:$M$1000=H53, ""))</f>
        <v>Barcos (1-3)</v>
      </c>
      <c r="F53" s="2" t="s">
        <v>11</v>
      </c>
      <c r="G53" s="2">
        <f>COUNTIF(Diario_D!$M$3:$M$112,H53)</f>
        <v>1</v>
      </c>
      <c r="H53" s="2" t="str">
        <v>M_350_A_4_B_4</v>
      </c>
    </row>
    <row r="54" spans="1:8" x14ac:dyDescent="0.3">
      <c r="A54" s="2">
        <v>53</v>
      </c>
      <c r="B54" s="2" t="str">
        <f>MID(H54,3,LEN(H54)-10)</f>
        <v>350</v>
      </c>
      <c r="C54" s="2" t="str">
        <f t="shared" si="0"/>
        <v>4</v>
      </c>
      <c r="D54" s="2" t="str">
        <f t="shared" si="1"/>
        <v>2</v>
      </c>
      <c r="E54" s="2" t="str" cm="1">
        <f t="array" ref="E54">_xlfn.TEXTJOIN(" | ", TRUE, _xlfn._xlws.FILTER(Diario_D!$J$2:$J$1000, Diario_D!$M$2:$M$1000=H54, ""))</f>
        <v>Duelo (0-2) Barcos (0-2) | PvP (0-2) Barcos (0-2)</v>
      </c>
      <c r="F54" s="2" t="s">
        <v>11</v>
      </c>
      <c r="G54" s="2">
        <f>COUNTIF(Diario_D!$M$3:$M$112,H54)</f>
        <v>2</v>
      </c>
      <c r="H54" s="2" t="str">
        <v>M_350_A_4_B_2</v>
      </c>
    </row>
    <row r="55" spans="1:8" x14ac:dyDescent="0.3">
      <c r="A55" s="2">
        <v>54</v>
      </c>
      <c r="B55" s="2" t="str">
        <f>MID(H55,3,LEN(H55)-10)</f>
        <v>350</v>
      </c>
      <c r="C55" s="2" t="str">
        <f t="shared" si="0"/>
        <v>3</v>
      </c>
      <c r="D55" s="2" t="str">
        <f t="shared" si="1"/>
        <v>2</v>
      </c>
      <c r="E55" s="2" t="str" cm="1">
        <f t="array" ref="E55">_xlfn.TEXTJOIN(" | ", TRUE, _xlfn._xlws.FILTER(Diario_D!$J$2:$J$1000, Diario_D!$M$2:$M$1000=H55, ""))</f>
        <v>PvP (1-0) Barcos (0-2) | PvP (0-1) Barcos (2-0)</v>
      </c>
      <c r="F55" s="2" t="s">
        <v>11</v>
      </c>
      <c r="G55" s="2">
        <f>COUNTIF(Diario_D!$M$3:$M$112,H55)</f>
        <v>2</v>
      </c>
      <c r="H55" s="2" t="str">
        <v>M_350_A_3_B_2</v>
      </c>
    </row>
    <row r="56" spans="1:8" x14ac:dyDescent="0.3">
      <c r="A56" s="2">
        <v>55</v>
      </c>
      <c r="B56" s="2" t="str">
        <f>MID(H56,3,LEN(H56)-10)</f>
        <v>325</v>
      </c>
      <c r="C56" s="2" t="str">
        <f t="shared" si="0"/>
        <v>4</v>
      </c>
      <c r="D56" s="2" t="str">
        <f t="shared" si="1"/>
        <v>3</v>
      </c>
      <c r="E56" s="2" t="str" cm="1">
        <f t="array" ref="E56">_xlfn.TEXTJOIN(" | ", TRUE, _xlfn._xlws.FILTER(Diario_D!$J$2:$J$1000, Diario_D!$M$2:$M$1000=H56, ""))</f>
        <v>PvP (0-1) Barcos (0-3)</v>
      </c>
      <c r="F56" s="2" t="s">
        <v>11</v>
      </c>
      <c r="G56" s="2">
        <f>COUNTIF(Diario_D!$M$3:$M$112,H56)</f>
        <v>1</v>
      </c>
      <c r="H56" s="2" t="str">
        <v>M_325_A_4_B_3</v>
      </c>
    </row>
    <row r="57" spans="1:8" x14ac:dyDescent="0.3">
      <c r="A57" s="2">
        <v>56</v>
      </c>
      <c r="B57" s="2" t="str">
        <f>MID(H57,3,LEN(H57)-10)</f>
        <v>325</v>
      </c>
      <c r="C57" s="2" t="str">
        <f t="shared" si="0"/>
        <v>3</v>
      </c>
      <c r="D57" s="2" t="str">
        <f t="shared" si="1"/>
        <v>3</v>
      </c>
      <c r="E57" s="2" t="str" cm="1">
        <f t="array" ref="E57">_xlfn.TEXTJOIN(" | ", TRUE, _xlfn._xlws.FILTER(Diario_D!$J$2:$J$1000, Diario_D!$M$2:$M$1000=H57, ""))</f>
        <v>Barcos (2-1)</v>
      </c>
      <c r="F57" s="2" t="s">
        <v>11</v>
      </c>
      <c r="G57" s="2">
        <f>COUNTIF(Diario_D!$M$3:$M$112,H57)</f>
        <v>1</v>
      </c>
      <c r="H57" s="2" t="str">
        <v>M_325_A_3_B_3</v>
      </c>
    </row>
    <row r="58" spans="1:8" x14ac:dyDescent="0.3">
      <c r="A58" s="2">
        <v>57</v>
      </c>
      <c r="B58" s="2" t="str">
        <f>MID(H58,3,LEN(H58)-10)</f>
        <v>325</v>
      </c>
      <c r="C58" s="2" t="str">
        <f t="shared" si="0"/>
        <v>3</v>
      </c>
      <c r="D58" s="2" t="str">
        <f t="shared" si="1"/>
        <v>1</v>
      </c>
      <c r="E58" s="2" t="str" cm="1">
        <f t="array" ref="E58">_xlfn.TEXTJOIN(" | ", TRUE, _xlfn._xlws.FILTER(Diario_D!$J$2:$J$1000, Diario_D!$M$2:$M$1000=H58, ""))</f>
        <v>Duelo (0-2) Barcos (1-0) | PvP (0-2) Barcos (1-0)</v>
      </c>
      <c r="F58" s="2" t="s">
        <v>11</v>
      </c>
      <c r="G58" s="2">
        <f>COUNTIF(Diario_D!$M$3:$M$112,H58)</f>
        <v>2</v>
      </c>
      <c r="H58" s="2" t="str">
        <v>M_325_A_3_B_1</v>
      </c>
    </row>
    <row r="59" spans="1:8" x14ac:dyDescent="0.3">
      <c r="A59" s="2">
        <v>58</v>
      </c>
      <c r="B59" s="2" t="str">
        <f>MID(H59,3,LEN(H59)-10)</f>
        <v>325</v>
      </c>
      <c r="C59" s="2" t="str">
        <f t="shared" si="0"/>
        <v>2</v>
      </c>
      <c r="D59" s="2" t="str">
        <f t="shared" si="1"/>
        <v>1</v>
      </c>
      <c r="E59" s="2" t="str" cm="1">
        <f t="array" ref="E59">_xlfn.TEXTJOIN(" | ", TRUE, _xlfn._xlws.FILTER(Diario_D!$J$2:$J$1000, Diario_D!$M$2:$M$1000=H59, ""))</f>
        <v>PvP (1-0) Barcos (1-0)</v>
      </c>
      <c r="F59" s="2" t="s">
        <v>11</v>
      </c>
      <c r="G59" s="2">
        <f>COUNTIF(Diario_D!$M$3:$M$112,H59)</f>
        <v>1</v>
      </c>
      <c r="H59" s="2" t="str">
        <v>M_325_A_2_B_1</v>
      </c>
    </row>
    <row r="60" spans="1:8" x14ac:dyDescent="0.3">
      <c r="A60" s="2">
        <v>59</v>
      </c>
      <c r="B60" s="2" t="str">
        <f>MID(H60,3,LEN(H60)-10)</f>
        <v>300</v>
      </c>
      <c r="C60" s="2" t="str">
        <f t="shared" si="0"/>
        <v>4</v>
      </c>
      <c r="D60" s="2" t="str">
        <f t="shared" si="1"/>
        <v>4</v>
      </c>
      <c r="E60" s="2" t="str" cm="1">
        <f t="array" ref="E60">_xlfn.TEXTJOIN(" | ", TRUE, _xlfn._xlws.FILTER(Diario_D!$J$2:$J$1000, Diario_D!$M$2:$M$1000=H60, ""))</f>
        <v>Barcos (0-4)</v>
      </c>
      <c r="F60" s="2" t="s">
        <v>11</v>
      </c>
      <c r="G60" s="2">
        <f>COUNTIF(Diario_D!$M$3:$M$112,H60)</f>
        <v>1</v>
      </c>
      <c r="H60" s="2" t="str">
        <v>M_300_A_4_B_4</v>
      </c>
    </row>
    <row r="61" spans="1:8" x14ac:dyDescent="0.3">
      <c r="A61" s="2">
        <v>60</v>
      </c>
      <c r="B61" s="2" t="str">
        <f>MID(H61,3,LEN(H61)-10)</f>
        <v>300</v>
      </c>
      <c r="C61" s="2" t="str">
        <f t="shared" si="0"/>
        <v>3</v>
      </c>
      <c r="D61" s="2" t="str">
        <f t="shared" si="1"/>
        <v>2</v>
      </c>
      <c r="E61" s="2" t="str" cm="1">
        <f t="array" ref="E61">_xlfn.TEXTJOIN(" | ", TRUE, _xlfn._xlws.FILTER(Diario_D!$J$2:$J$1000, Diario_D!$M$2:$M$1000=H61, ""))</f>
        <v>PvP (0-1) Barcos (1-1)</v>
      </c>
      <c r="F61" s="2" t="s">
        <v>11</v>
      </c>
      <c r="G61" s="2">
        <f>COUNTIF(Diario_D!$M$3:$M$112,H61)</f>
        <v>1</v>
      </c>
      <c r="H61" s="2" t="str">
        <v>M_300_A_3_B_2</v>
      </c>
    </row>
    <row r="62" spans="1:8" x14ac:dyDescent="0.3">
      <c r="A62" s="2">
        <v>61</v>
      </c>
      <c r="B62" s="2" t="str">
        <f>MID(H62,3,LEN(H62)-10)</f>
        <v>300</v>
      </c>
      <c r="C62" s="2" t="str">
        <f t="shared" si="0"/>
        <v>3</v>
      </c>
      <c r="D62" s="2" t="str">
        <f t="shared" si="1"/>
        <v>0</v>
      </c>
      <c r="E62" s="2" t="str" cm="1">
        <f t="array" ref="E62">_xlfn.TEXTJOIN(" | ", TRUE, _xlfn._xlws.FILTER(Diario_D!$J$2:$J$1000, Diario_D!$M$2:$M$1000=H62, ""))</f>
        <v xml:space="preserve">PvP (0-1) Duelo (0-2)  | PvP (0-3) </v>
      </c>
      <c r="F62" s="2" t="s">
        <v>11</v>
      </c>
      <c r="G62" s="2">
        <f>COUNTIF(Diario_D!$M$3:$M$112,H62)</f>
        <v>2</v>
      </c>
      <c r="H62" s="2" t="str">
        <v>M_300_A_3_B_0</v>
      </c>
    </row>
    <row r="63" spans="1:8" x14ac:dyDescent="0.3">
      <c r="A63" s="2">
        <v>62</v>
      </c>
      <c r="B63" s="2" t="str">
        <f>MID(H63,3,LEN(H63)-10)</f>
        <v>300</v>
      </c>
      <c r="C63" s="2" t="str">
        <f t="shared" si="0"/>
        <v>2</v>
      </c>
      <c r="D63" s="2" t="str">
        <f t="shared" si="1"/>
        <v>0</v>
      </c>
      <c r="E63" s="2" t="str" cm="1">
        <f t="array" ref="E63">_xlfn.TEXTJOIN(" | ", TRUE, _xlfn._xlws.FILTER(Diario_D!$J$2:$J$1000, Diario_D!$M$2:$M$1000=H63, ""))</f>
        <v xml:space="preserve">PvP (1-1) </v>
      </c>
      <c r="F63" s="2" t="s">
        <v>11</v>
      </c>
      <c r="G63" s="2">
        <f>COUNTIF(Diario_D!$M$3:$M$112,H63)</f>
        <v>1</v>
      </c>
      <c r="H63" s="2" t="str">
        <v>M_300_A_2_B_0</v>
      </c>
    </row>
    <row r="64" spans="1:8" x14ac:dyDescent="0.3">
      <c r="A64" s="2">
        <v>63</v>
      </c>
      <c r="B64" s="2" t="str">
        <f>MID(H64,3,LEN(H64)-10)</f>
        <v>275</v>
      </c>
      <c r="C64" s="2" t="str">
        <f t="shared" si="0"/>
        <v>3</v>
      </c>
      <c r="D64" s="2" t="str">
        <f t="shared" si="1"/>
        <v>3</v>
      </c>
      <c r="E64" s="2" t="str" cm="1">
        <f t="array" ref="E64">_xlfn.TEXTJOIN(" | ", TRUE, _xlfn._xlws.FILTER(Diario_D!$J$2:$J$1000, Diario_D!$M$2:$M$1000=H64, ""))</f>
        <v>Barcos (1-2)</v>
      </c>
      <c r="F64" s="2" t="s">
        <v>11</v>
      </c>
      <c r="G64" s="2">
        <f>COUNTIF(Diario_D!$M$3:$M$112,H64)</f>
        <v>1</v>
      </c>
      <c r="H64" s="2" t="str">
        <v>M_275_A_3_B_3</v>
      </c>
    </row>
    <row r="65" spans="1:8" x14ac:dyDescent="0.3">
      <c r="A65" s="2">
        <v>64</v>
      </c>
      <c r="B65" s="2" t="str">
        <f>MID(H65,3,LEN(H65)-10)</f>
        <v>275</v>
      </c>
      <c r="C65" s="2" t="str">
        <f t="shared" si="0"/>
        <v>3</v>
      </c>
      <c r="D65" s="2" t="str">
        <f t="shared" si="1"/>
        <v>1</v>
      </c>
      <c r="E65" s="2" t="str" cm="1">
        <f t="array" ref="E65">_xlfn.TEXTJOIN(" | ", TRUE, _xlfn._xlws.FILTER(Diario_D!$J$2:$J$1000, Diario_D!$M$2:$M$1000=H65, ""))</f>
        <v>Duelo (0-2) Barcos (0-1) | PvP (0-2) Barcos (0-1)</v>
      </c>
      <c r="F65" s="2" t="s">
        <v>11</v>
      </c>
      <c r="G65" s="2">
        <f>COUNTIF(Diario_D!$M$3:$M$112,H65)</f>
        <v>2</v>
      </c>
      <c r="H65" s="2" t="str">
        <v>M_275_A_3_B_1</v>
      </c>
    </row>
    <row r="66" spans="1:8" x14ac:dyDescent="0.3">
      <c r="A66" s="2">
        <v>65</v>
      </c>
      <c r="B66" s="2" t="str">
        <f>MID(H66,3,LEN(H66)-10)</f>
        <v>275</v>
      </c>
      <c r="C66" s="2" t="str">
        <f t="shared" si="0"/>
        <v>2</v>
      </c>
      <c r="D66" s="2" t="str">
        <f t="shared" si="1"/>
        <v>1</v>
      </c>
      <c r="E66" s="2" t="str" cm="1">
        <f t="array" ref="E66">_xlfn.TEXTJOIN(" | ", TRUE, _xlfn._xlws.FILTER(Diario_D!$J$2:$J$1000, Diario_D!$M$2:$M$1000=H66, ""))</f>
        <v>PvP (1-0) Barcos (0-1)</v>
      </c>
      <c r="F66" s="2" t="s">
        <v>11</v>
      </c>
      <c r="G66" s="2">
        <f>COUNTIF(Diario_D!$M$3:$M$112,H66)</f>
        <v>1</v>
      </c>
      <c r="H66" s="2" t="str">
        <v>M_275_A_2_B_1</v>
      </c>
    </row>
    <row r="67" spans="1:8" x14ac:dyDescent="0.3">
      <c r="A67" s="2">
        <v>66</v>
      </c>
      <c r="B67" s="2" t="str">
        <f>MID(H67,3,LEN(H67)-10)</f>
        <v>250</v>
      </c>
      <c r="C67" s="2" t="str">
        <f t="shared" ref="C67:C78" si="2">MID(H67,LEN(H67)-4,1)</f>
        <v>3</v>
      </c>
      <c r="D67" s="2" t="str">
        <f t="shared" ref="D67:D78" si="3">RIGHT(H67,1)</f>
        <v>2</v>
      </c>
      <c r="E67" s="2" t="str" cm="1">
        <f t="array" ref="E67">_xlfn.TEXTJOIN(" | ", TRUE, _xlfn._xlws.FILTER(Diario_D!$J$2:$J$1000, Diario_D!$M$2:$M$1000=H67, ""))</f>
        <v>PvP (0-1) Barcos (0-2)</v>
      </c>
      <c r="F67" s="2" t="s">
        <v>11</v>
      </c>
      <c r="G67" s="2">
        <f>COUNTIF(Diario_D!$M$3:$M$112,H67)</f>
        <v>1</v>
      </c>
      <c r="H67" s="2" t="str">
        <v>M_250_A_3_B_2</v>
      </c>
    </row>
    <row r="68" spans="1:8" x14ac:dyDescent="0.3">
      <c r="A68" s="2">
        <v>67</v>
      </c>
      <c r="B68" s="2" t="str">
        <f>MID(H68,3,LEN(H68)-10)</f>
        <v>250</v>
      </c>
      <c r="C68" s="2" t="str">
        <f t="shared" si="2"/>
        <v>2</v>
      </c>
      <c r="D68" s="2" t="str">
        <f t="shared" si="3"/>
        <v>2</v>
      </c>
      <c r="E68" s="2" t="str" cm="1">
        <f t="array" ref="E68">_xlfn.TEXTJOIN(" | ", TRUE, _xlfn._xlws.FILTER(Diario_D!$J$2:$J$1000, Diario_D!$M$2:$M$1000=H68, ""))</f>
        <v>Barcos (2-0)</v>
      </c>
      <c r="F68" s="2" t="s">
        <v>11</v>
      </c>
      <c r="G68" s="2">
        <f>COUNTIF(Diario_D!$M$3:$M$112,H68)</f>
        <v>1</v>
      </c>
      <c r="H68" s="2" t="str">
        <v>M_250_A_2_B_2</v>
      </c>
    </row>
    <row r="69" spans="1:8" x14ac:dyDescent="0.3">
      <c r="A69" s="2">
        <v>68</v>
      </c>
      <c r="B69" s="2" t="str">
        <f>MID(H69,3,LEN(H69)-10)</f>
        <v>225</v>
      </c>
      <c r="C69" s="2" t="str">
        <f t="shared" si="2"/>
        <v>3</v>
      </c>
      <c r="D69" s="2" t="str">
        <f t="shared" si="3"/>
        <v>3</v>
      </c>
      <c r="E69" s="2" t="str" cm="1">
        <f t="array" ref="E69">_xlfn.TEXTJOIN(" | ", TRUE, _xlfn._xlws.FILTER(Diario_D!$J$2:$J$1000, Diario_D!$M$2:$M$1000=H69, ""))</f>
        <v>Barcos (0-3)</v>
      </c>
      <c r="F69" s="2" t="s">
        <v>11</v>
      </c>
      <c r="G69" s="2">
        <f>COUNTIF(Diario_D!$M$3:$M$112,H69)</f>
        <v>1</v>
      </c>
      <c r="H69" s="2" t="str">
        <v>M_225_A_3_B_3</v>
      </c>
    </row>
    <row r="70" spans="1:8" x14ac:dyDescent="0.3">
      <c r="A70" s="2">
        <v>69</v>
      </c>
      <c r="B70" s="2" t="str">
        <f>MID(H70,3,LEN(H70)-10)</f>
        <v>225</v>
      </c>
      <c r="C70" s="2" t="str">
        <f t="shared" si="2"/>
        <v>2</v>
      </c>
      <c r="D70" s="2" t="str">
        <f t="shared" si="3"/>
        <v>1</v>
      </c>
      <c r="E70" s="2" t="str" cm="1">
        <f t="array" ref="E70">_xlfn.TEXTJOIN(" | ", TRUE, _xlfn._xlws.FILTER(Diario_D!$J$2:$J$1000, Diario_D!$M$2:$M$1000=H70, ""))</f>
        <v>PvP (0-1) Barcos (1-0)</v>
      </c>
      <c r="F70" s="2" t="s">
        <v>11</v>
      </c>
      <c r="G70" s="2">
        <f>COUNTIF(Diario_D!$M$3:$M$112,H70)</f>
        <v>1</v>
      </c>
      <c r="H70" s="2" t="str">
        <v>M_225_A_2_B_1</v>
      </c>
    </row>
    <row r="71" spans="1:8" x14ac:dyDescent="0.3">
      <c r="A71" s="2">
        <v>70</v>
      </c>
      <c r="B71" s="2" t="str">
        <f>MID(H71,3,LEN(H71)-10)</f>
        <v>200</v>
      </c>
      <c r="C71" s="2" t="str">
        <f t="shared" si="2"/>
        <v>2</v>
      </c>
      <c r="D71" s="2" t="str">
        <f t="shared" si="3"/>
        <v>2</v>
      </c>
      <c r="E71" s="2" t="str" cm="1">
        <f t="array" ref="E71">_xlfn.TEXTJOIN(" | ", TRUE, _xlfn._xlws.FILTER(Diario_D!$J$2:$J$1000, Diario_D!$M$2:$M$1000=H71, ""))</f>
        <v>Barcos (1-1)</v>
      </c>
      <c r="F71" s="2" t="s">
        <v>11</v>
      </c>
      <c r="G71" s="2">
        <f>COUNTIF(Diario_D!$M$3:$M$112,H71)</f>
        <v>1</v>
      </c>
      <c r="H71" s="2" t="str">
        <v>M_200_A_2_B_2</v>
      </c>
    </row>
    <row r="72" spans="1:8" x14ac:dyDescent="0.3">
      <c r="A72" s="2">
        <v>71</v>
      </c>
      <c r="B72" s="2" t="str">
        <f>MID(H72,3,LEN(H72)-10)</f>
        <v>200</v>
      </c>
      <c r="C72" s="2" t="str">
        <f t="shared" si="2"/>
        <v>2</v>
      </c>
      <c r="D72" s="2" t="str">
        <f t="shared" si="3"/>
        <v>0</v>
      </c>
      <c r="E72" s="2" t="str" cm="1">
        <f t="array" ref="E72">_xlfn.TEXTJOIN(" | ", TRUE, _xlfn._xlws.FILTER(Diario_D!$J$2:$J$1000, Diario_D!$M$2:$M$1000=H72, ""))</f>
        <v xml:space="preserve">Duelo (0-2)  | PvP (0-2) </v>
      </c>
      <c r="F72" s="2" t="s">
        <v>11</v>
      </c>
      <c r="G72" s="2">
        <f>COUNTIF(Diario_D!$M$3:$M$112,H72)</f>
        <v>2</v>
      </c>
      <c r="H72" s="2" t="str">
        <v>M_200_A_2_B_0</v>
      </c>
    </row>
    <row r="73" spans="1:8" x14ac:dyDescent="0.3">
      <c r="A73" s="2">
        <v>72</v>
      </c>
      <c r="B73" s="2" t="str">
        <f>MID(H73,3,LEN(H73)-10)</f>
        <v>200</v>
      </c>
      <c r="C73" s="2" t="str">
        <f t="shared" si="2"/>
        <v>1</v>
      </c>
      <c r="D73" s="2" t="str">
        <f t="shared" si="3"/>
        <v>0</v>
      </c>
      <c r="E73" s="2" t="str" cm="1">
        <f t="array" ref="E73">_xlfn.TEXTJOIN(" | ", TRUE, _xlfn._xlws.FILTER(Diario_D!$J$2:$J$1000, Diario_D!$M$2:$M$1000=H73, ""))</f>
        <v xml:space="preserve">PvP (1-0) </v>
      </c>
      <c r="F73" s="2" t="s">
        <v>11</v>
      </c>
      <c r="G73" s="2">
        <f>COUNTIF(Diario_D!$M$3:$M$112,H73)</f>
        <v>1</v>
      </c>
      <c r="H73" s="2" t="str">
        <v>M_200_A_1_B_0</v>
      </c>
    </row>
    <row r="74" spans="1:8" x14ac:dyDescent="0.3">
      <c r="A74" s="2">
        <v>73</v>
      </c>
      <c r="B74" s="2" t="str">
        <f>MID(H74,3,LEN(H74)-10)</f>
        <v>175</v>
      </c>
      <c r="C74" s="2" t="str">
        <f t="shared" si="2"/>
        <v>2</v>
      </c>
      <c r="D74" s="2" t="str">
        <f t="shared" si="3"/>
        <v>1</v>
      </c>
      <c r="E74" s="2" t="str" cm="1">
        <f t="array" ref="E74">_xlfn.TEXTJOIN(" | ", TRUE, _xlfn._xlws.FILTER(Diario_D!$J$2:$J$1000, Diario_D!$M$2:$M$1000=H74, ""))</f>
        <v>PvP (0-1) Barcos (0-1)</v>
      </c>
      <c r="F74" s="2" t="s">
        <v>11</v>
      </c>
      <c r="G74" s="2">
        <f>COUNTIF(Diario_D!$M$3:$M$112,H74)</f>
        <v>1</v>
      </c>
      <c r="H74" s="2" t="str">
        <v>M_175_A_2_B_1</v>
      </c>
    </row>
    <row r="75" spans="1:8" x14ac:dyDescent="0.3">
      <c r="A75" s="2">
        <v>74</v>
      </c>
      <c r="B75" s="2" t="str">
        <f>MID(H75,3,LEN(H75)-10)</f>
        <v>150</v>
      </c>
      <c r="C75" s="2" t="str">
        <f t="shared" si="2"/>
        <v>2</v>
      </c>
      <c r="D75" s="2" t="str">
        <f t="shared" si="3"/>
        <v>2</v>
      </c>
      <c r="E75" s="2" t="str" cm="1">
        <f t="array" ref="E75">_xlfn.TEXTJOIN(" | ", TRUE, _xlfn._xlws.FILTER(Diario_D!$J$2:$J$1000, Diario_D!$M$2:$M$1000=H75, ""))</f>
        <v>Barcos (0-2)</v>
      </c>
      <c r="F75" s="2" t="s">
        <v>11</v>
      </c>
      <c r="G75" s="2">
        <f>COUNTIF(Diario_D!$M$3:$M$112,H75)</f>
        <v>1</v>
      </c>
      <c r="H75" s="2" t="str">
        <v>M_150_A_2_B_2</v>
      </c>
    </row>
    <row r="76" spans="1:8" x14ac:dyDescent="0.3">
      <c r="A76" s="2">
        <v>75</v>
      </c>
      <c r="B76" s="2" t="str">
        <f>MID(H76,3,LEN(H76)-10)</f>
        <v>125</v>
      </c>
      <c r="C76" s="2" t="str">
        <f t="shared" si="2"/>
        <v>1</v>
      </c>
      <c r="D76" s="2" t="str">
        <f t="shared" si="3"/>
        <v>1</v>
      </c>
      <c r="E76" s="2" t="str" cm="1">
        <f t="array" ref="E76">_xlfn.TEXTJOIN(" | ", TRUE, _xlfn._xlws.FILTER(Diario_D!$J$2:$J$1000, Diario_D!$M$2:$M$1000=H76, ""))</f>
        <v>Barcos (1-0)</v>
      </c>
      <c r="F76" s="2" t="s">
        <v>11</v>
      </c>
      <c r="G76" s="2">
        <f>COUNTIF(Diario_D!$M$3:$M$112,H76)</f>
        <v>1</v>
      </c>
      <c r="H76" s="2" t="str">
        <v>M_125_A_1_B_1</v>
      </c>
    </row>
    <row r="77" spans="1:8" x14ac:dyDescent="0.3">
      <c r="A77" s="2">
        <v>76</v>
      </c>
      <c r="B77" s="2" t="str">
        <f>MID(H77,3,LEN(H77)-10)</f>
        <v>100</v>
      </c>
      <c r="C77" s="2" t="str">
        <f t="shared" si="2"/>
        <v>1</v>
      </c>
      <c r="D77" s="2" t="str">
        <f t="shared" si="3"/>
        <v>0</v>
      </c>
      <c r="E77" s="2" t="str" cm="1">
        <f t="array" ref="E77">_xlfn.TEXTJOIN(" | ", TRUE, _xlfn._xlws.FILTER(Diario_D!$J$2:$J$1000, Diario_D!$M$2:$M$1000=H77, ""))</f>
        <v xml:space="preserve">PvP (0-1) </v>
      </c>
      <c r="F77" s="2" t="s">
        <v>11</v>
      </c>
      <c r="G77" s="2">
        <f>COUNTIF(Diario_D!$M$3:$M$112,H77)</f>
        <v>1</v>
      </c>
      <c r="H77" s="2" t="str">
        <v>M_100_A_1_B_0</v>
      </c>
    </row>
    <row r="78" spans="1:8" x14ac:dyDescent="0.3">
      <c r="A78" s="2">
        <v>77</v>
      </c>
      <c r="B78" s="2" t="str">
        <f>MID(H78,3,LEN(H78)-10)</f>
        <v>0</v>
      </c>
      <c r="C78" s="2" t="str">
        <f t="shared" si="2"/>
        <v>0</v>
      </c>
      <c r="D78" s="2" t="str">
        <f t="shared" si="3"/>
        <v>0</v>
      </c>
      <c r="E78" s="2" t="str" cm="1">
        <f t="array" ref="E78">_xlfn.TEXTJOIN(" | ", TRUE, _xlfn._xlws.FILTER(Diario_D!$J$2:$J$1000, Diario_D!$M$2:$M$1000=H78, ""))</f>
        <v>Sin ataques</v>
      </c>
      <c r="F78" s="2" t="s">
        <v>11</v>
      </c>
      <c r="G78" s="2">
        <f>COUNTIF(Diario_D!$M$3:$M$112,H78)</f>
        <v>1</v>
      </c>
      <c r="H78" s="2" t="str">
        <v>M_0_A_0_B_0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Diario_D</vt:lpstr>
      <vt:lpstr>Diario_C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Milagros Gallegos Pinedo</dc:creator>
  <cp:lastModifiedBy>Diana Milagros Gallegos Pinedo</cp:lastModifiedBy>
  <dcterms:created xsi:type="dcterms:W3CDTF">2026-10-18T19:04:16Z</dcterms:created>
  <dcterms:modified xsi:type="dcterms:W3CDTF">2026-10-18T23:02:40Z</dcterms:modified>
</cp:coreProperties>
</file>